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/repo/jpmorgan/MLCOETSRL2026-question1/"/>
    </mc:Choice>
  </mc:AlternateContent>
  <xr:revisionPtr revIDLastSave="0" documentId="13_ncr:1_{71C769EB-781C-C141-8DCF-88B90297BCA7}" xr6:coauthVersionLast="47" xr6:coauthVersionMax="47" xr10:uidLastSave="{00000000-0000-0000-0000-000000000000}"/>
  <bookViews>
    <workbookView xWindow="1480" yWindow="880" windowWidth="19820" windowHeight="25700" activeTab="1" xr2:uid="{00000000-000D-0000-FFFF-FFFF00000000}"/>
  </bookViews>
  <sheets>
    <sheet name="0000320193_financial_facts" sheetId="1" r:id="rId1"/>
    <sheet name="Needed" sheetId="6" r:id="rId2"/>
    <sheet name="Cash Flow" sheetId="5" r:id="rId3"/>
    <sheet name="Liabilities" sheetId="2" r:id="rId4"/>
    <sheet name="Equity" sheetId="4" r:id="rId5"/>
    <sheet name="Asset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1" i="6" l="1"/>
  <c r="D41" i="6"/>
  <c r="E41" i="6"/>
  <c r="F41" i="6"/>
  <c r="G41" i="6"/>
  <c r="H41" i="6"/>
  <c r="I41" i="6"/>
  <c r="J41" i="6"/>
  <c r="D51" i="6"/>
  <c r="E51" i="6"/>
  <c r="F51" i="6"/>
  <c r="G51" i="6"/>
  <c r="H51" i="6"/>
  <c r="I51" i="6"/>
  <c r="J51" i="6"/>
  <c r="C51" i="6"/>
  <c r="C49" i="6"/>
  <c r="D49" i="6"/>
  <c r="E49" i="6"/>
  <c r="F49" i="6"/>
  <c r="G49" i="6"/>
  <c r="H49" i="6"/>
  <c r="I49" i="6"/>
  <c r="J49" i="6"/>
  <c r="J46" i="6"/>
  <c r="I46" i="6"/>
  <c r="H46" i="6"/>
  <c r="G46" i="6"/>
  <c r="F46" i="6"/>
  <c r="E46" i="6"/>
  <c r="D46" i="6"/>
  <c r="C46" i="6"/>
  <c r="D45" i="6"/>
  <c r="E45" i="6"/>
  <c r="F45" i="6"/>
  <c r="G45" i="6"/>
  <c r="H45" i="6"/>
  <c r="I45" i="6"/>
  <c r="J45" i="6"/>
  <c r="C45" i="6"/>
  <c r="D44" i="6"/>
  <c r="E44" i="6"/>
  <c r="F44" i="6"/>
  <c r="G44" i="6"/>
  <c r="J44" i="6"/>
  <c r="D43" i="6"/>
  <c r="E43" i="6"/>
  <c r="F43" i="6"/>
  <c r="G43" i="6"/>
  <c r="H43" i="6"/>
  <c r="H44" i="6" s="1"/>
  <c r="I43" i="6"/>
  <c r="I44" i="6" s="1"/>
  <c r="J43" i="6"/>
  <c r="C43" i="6"/>
  <c r="C44" i="6" s="1"/>
  <c r="F16" i="6"/>
  <c r="C12" i="6"/>
  <c r="D12" i="6"/>
  <c r="E12" i="6"/>
  <c r="F12" i="6"/>
  <c r="D5" i="6"/>
  <c r="D16" i="6" s="1"/>
  <c r="E5" i="6"/>
  <c r="F5" i="6"/>
  <c r="C5" i="6"/>
  <c r="G2" i="6"/>
  <c r="H2" i="6"/>
  <c r="I2" i="6"/>
  <c r="J2" i="6"/>
  <c r="G16" i="6"/>
  <c r="H16" i="6"/>
  <c r="I16" i="6"/>
  <c r="J16" i="6"/>
  <c r="AG47" i="3"/>
  <c r="AG48" i="3"/>
  <c r="AG49" i="3"/>
  <c r="AG50" i="3"/>
  <c r="AG51" i="3"/>
  <c r="AG52" i="3"/>
  <c r="AG53" i="3"/>
  <c r="AG46" i="3"/>
  <c r="L110" i="3"/>
  <c r="L111" i="3"/>
  <c r="L112" i="3"/>
  <c r="L113" i="3"/>
  <c r="L114" i="3"/>
  <c r="L115" i="3"/>
  <c r="L116" i="3"/>
  <c r="N7" i="5"/>
  <c r="K7" i="5"/>
  <c r="N6" i="5"/>
  <c r="K6" i="5"/>
  <c r="N5" i="5"/>
  <c r="K5" i="5"/>
  <c r="H96" i="3"/>
  <c r="H97" i="3"/>
  <c r="H98" i="3"/>
  <c r="H99" i="3"/>
  <c r="H100" i="3"/>
  <c r="H101" i="3"/>
  <c r="H102" i="3"/>
  <c r="H95" i="3"/>
  <c r="Z141" i="2"/>
  <c r="Z142" i="2"/>
  <c r="Z143" i="2"/>
  <c r="Z144" i="2"/>
  <c r="Z145" i="2"/>
  <c r="Z146" i="2"/>
  <c r="Z147" i="2"/>
  <c r="Z148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2" i="2"/>
  <c r="AH4" i="2"/>
  <c r="AH5" i="2"/>
  <c r="AH6" i="2"/>
  <c r="AH7" i="2"/>
  <c r="AH8" i="2"/>
  <c r="AH9" i="2"/>
  <c r="AH10" i="2"/>
  <c r="AH3" i="2"/>
  <c r="P36" i="3"/>
  <c r="P37" i="3"/>
  <c r="P38" i="3"/>
  <c r="P39" i="3"/>
  <c r="P40" i="3"/>
  <c r="P41" i="3"/>
  <c r="P42" i="3"/>
  <c r="P35" i="3"/>
  <c r="P21" i="3"/>
  <c r="R21" i="3" s="1"/>
  <c r="P22" i="3"/>
  <c r="R22" i="3" s="1"/>
  <c r="P23" i="3"/>
  <c r="R23" i="3" s="1"/>
  <c r="P24" i="3"/>
  <c r="R24" i="3" s="1"/>
  <c r="P25" i="3"/>
  <c r="R25" i="3" s="1"/>
  <c r="P26" i="3"/>
  <c r="R26" i="3" s="1"/>
  <c r="P27" i="3"/>
  <c r="R27" i="3" s="1"/>
  <c r="P20" i="3"/>
  <c r="R20" i="3" s="1"/>
  <c r="Q3" i="3"/>
  <c r="Q4" i="3"/>
  <c r="Q5" i="3"/>
  <c r="Q6" i="3"/>
  <c r="Q7" i="3"/>
  <c r="Q8" i="3"/>
  <c r="Q9" i="3"/>
  <c r="Q2" i="3"/>
  <c r="T2" i="3"/>
  <c r="AF10" i="2"/>
  <c r="AI10" i="2" s="1"/>
  <c r="AI3" i="2"/>
  <c r="AI4" i="2"/>
  <c r="AI5" i="2"/>
  <c r="AI6" i="2"/>
  <c r="AI7" i="2"/>
  <c r="AI8" i="2"/>
  <c r="AI9" i="2"/>
  <c r="AF4" i="2"/>
  <c r="AF5" i="2"/>
  <c r="AF6" i="2"/>
  <c r="AF7" i="2"/>
  <c r="AF8" i="2"/>
  <c r="AF9" i="2"/>
  <c r="AF3" i="2"/>
  <c r="AD4" i="2"/>
  <c r="AD5" i="2"/>
  <c r="AD6" i="2"/>
  <c r="AD7" i="2"/>
  <c r="AD8" i="2"/>
  <c r="AD9" i="2"/>
  <c r="AD10" i="2"/>
  <c r="AD3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16" i="6" l="1"/>
  <c r="E16" i="6"/>
</calcChain>
</file>

<file path=xl/sharedStrings.xml><?xml version="1.0" encoding="utf-8"?>
<sst xmlns="http://schemas.openxmlformats.org/spreadsheetml/2006/main" count="9943" uniqueCount="179">
  <si>
    <t>Ticker</t>
  </si>
  <si>
    <t>Accession Number</t>
  </si>
  <si>
    <t>Fact Label</t>
  </si>
  <si>
    <t>XBRL Tag</t>
  </si>
  <si>
    <t>Dimension(s)</t>
  </si>
  <si>
    <t>Fact Value</t>
  </si>
  <si>
    <t>Fact Date</t>
  </si>
  <si>
    <t>Context Type</t>
  </si>
  <si>
    <t>Unit</t>
  </si>
  <si>
    <t>0000320193-19-000119</t>
  </si>
  <si>
    <t>Share Issued</t>
  </si>
  <si>
    <t>us-gaap:CommonStockSharesIssued</t>
  </si>
  <si>
    <t>None</t>
  </si>
  <si>
    <t>Unknown</t>
  </si>
  <si>
    <t>unit</t>
  </si>
  <si>
    <t>Ordinary Shares Number</t>
  </si>
  <si>
    <t>us-gaap:CommonStockSharesOutstanding</t>
  </si>
  <si>
    <t>Gross Profit</t>
  </si>
  <si>
    <t>us-gaap:GrossProfit</t>
  </si>
  <si>
    <t>Selling General And Administration</t>
  </si>
  <si>
    <t>us-gaap:SellingGeneralAndAdministrativeExpense</t>
  </si>
  <si>
    <t>Operating Expense</t>
  </si>
  <si>
    <t>us-gaap:OperatingExpenses</t>
  </si>
  <si>
    <t>Operating Income</t>
  </si>
  <si>
    <t>us-gaap:OperatingIncomeLoss</t>
  </si>
  <si>
    <t>EBIT</t>
  </si>
  <si>
    <t>Tax Provision</t>
  </si>
  <si>
    <t>us-gaap:IncomeTaxExpenseBenefit</t>
  </si>
  <si>
    <t>Net Income</t>
  </si>
  <si>
    <t>us-gaap:NetIncomeLoss</t>
  </si>
  <si>
    <t>Net Income Including Noncontrolling Interests</t>
  </si>
  <si>
    <t>Basic EPS</t>
  </si>
  <si>
    <t>us-gaap:EarningsPerShareBasic</t>
  </si>
  <si>
    <t>Diluted EPS</t>
  </si>
  <si>
    <t>us-gaap:EarningsPerShareDiluted</t>
  </si>
  <si>
    <t>Basic Average Shares</t>
  </si>
  <si>
    <t>us-gaap:WeightedAverageNumberOfSharesOutstandingBasic</t>
  </si>
  <si>
    <t>Cash And Cash Equivalents</t>
  </si>
  <si>
    <t>us-gaap:CashAndCashEquivalentsAtCarryingValue</t>
  </si>
  <si>
    <t>End Cash Position</t>
  </si>
  <si>
    <t>Beginning Cash Position</t>
  </si>
  <si>
    <t>Accounts Receivable</t>
  </si>
  <si>
    <t>us-gaap:AccountsReceivableNetCurrent</t>
  </si>
  <si>
    <t>Inventory</t>
  </si>
  <si>
    <t>us-gaap:InventoryNet</t>
  </si>
  <si>
    <t>Net PPE</t>
  </si>
  <si>
    <t>us-gaap:PropertyPlantAndEquipmentNet</t>
  </si>
  <si>
    <t>Total Assets</t>
  </si>
  <si>
    <t>us-gaap:Assets</t>
  </si>
  <si>
    <t>Accounts Payable Current</t>
  </si>
  <si>
    <t>us-gaap:AccountsPayableCurrent</t>
  </si>
  <si>
    <t>Other Current Liabilities</t>
  </si>
  <si>
    <t>us-gaap:OtherLiabilitiesCurrent</t>
  </si>
  <si>
    <t>CommercialPaper(ST debt)</t>
  </si>
  <si>
    <t>us-gaap:CommercialPaper</t>
  </si>
  <si>
    <t>LT Debt Current</t>
  </si>
  <si>
    <t>us-gaap:LongTermDebtCurrent</t>
  </si>
  <si>
    <t>LT Debt Non-current</t>
  </si>
  <si>
    <t>us-gaap:LongTermDebtNoncurrent</t>
  </si>
  <si>
    <t>Other Non-Current Liabilities</t>
  </si>
  <si>
    <t>us-gaap:OtherLiabilitiesNoncurrent</t>
  </si>
  <si>
    <t>Total Liabilities Net Minority Interest</t>
  </si>
  <si>
    <t>us-gaap:Liabilities</t>
  </si>
  <si>
    <t>Common Stock Equity</t>
  </si>
  <si>
    <t>us-gaap:StockholdersEquity</t>
  </si>
  <si>
    <t>Stockholders Equity</t>
  </si>
  <si>
    <t>Depreciation Amortization Depletion</t>
  </si>
  <si>
    <t>us-gaap:DepreciationDepletionAndAmortization</t>
  </si>
  <si>
    <t>Deferred Tax</t>
  </si>
  <si>
    <t>us-gaap:DeferredIncomeTaxExpenseBenefit</t>
  </si>
  <si>
    <t>Operating Cash Flow</t>
  </si>
  <si>
    <t>us-gaap:NetCashProvidedByUsedInOperatingActivities</t>
  </si>
  <si>
    <t>Free Cash Flow</t>
  </si>
  <si>
    <t>us-gaap:PaymentsToAcquirePropertyPlantAndEquipment</t>
  </si>
  <si>
    <t>Capital Expenditure</t>
  </si>
  <si>
    <t>Purchase Of PPE</t>
  </si>
  <si>
    <t>Investing Cash Flow</t>
  </si>
  <si>
    <t>us-gaap:NetCashProvidedByUsedInInvestingActivities</t>
  </si>
  <si>
    <t>Cash Dividends Paid</t>
  </si>
  <si>
    <t>us-gaap:PaymentsOfDividends</t>
  </si>
  <si>
    <t>Repurchase Of Capital Stock</t>
  </si>
  <si>
    <t>us-gaap:PaymentsForRepurchaseOfCommonStock</t>
  </si>
  <si>
    <t>Long Term Debt Issuance</t>
  </si>
  <si>
    <t>us-gaap:ProceedsFromIssuanceOfLongTermDebt</t>
  </si>
  <si>
    <t>Financing Cash Flow</t>
  </si>
  <si>
    <t>us-gaap:NetCashProvidedByUsedInFinancingActivities</t>
  </si>
  <si>
    <t>Total Non Current Assets</t>
  </si>
  <si>
    <t>us-gaap:NoncurrentAssets</t>
  </si>
  <si>
    <t>0000320193-25-000079</t>
  </si>
  <si>
    <t>Current Accrued Income Taxes</t>
  </si>
  <si>
    <t>us-gaap:AccruedIncomeTaxesCurrent</t>
  </si>
  <si>
    <t>Current Operating Lease Liability</t>
  </si>
  <si>
    <t>us-gaap:OperatingLeaseLiabilityCurrent</t>
  </si>
  <si>
    <t>Current Finance Lease Liability</t>
  </si>
  <si>
    <t>us-gaap:FinanceLeaseLiabilityCurrent</t>
  </si>
  <si>
    <t>Long Term Debt</t>
  </si>
  <si>
    <t>us-gaap:LongTermDebt</t>
  </si>
  <si>
    <t>0000320193-22-000108</t>
  </si>
  <si>
    <t>0000320193-24-000123</t>
  </si>
  <si>
    <t>0000320193-21-000105</t>
  </si>
  <si>
    <t>0000320193-20-000096</t>
  </si>
  <si>
    <t>0000320193-23-000106</t>
  </si>
  <si>
    <t>LT debt current</t>
  </si>
  <si>
    <t>LT debt non-current</t>
  </si>
  <si>
    <t>all LT debt</t>
  </si>
  <si>
    <t>ST debt</t>
  </si>
  <si>
    <t>Accounts payable current</t>
  </si>
  <si>
    <t>Total liabilities</t>
  </si>
  <si>
    <t>payable</t>
  </si>
  <si>
    <t>other liabilities</t>
  </si>
  <si>
    <t>total</t>
  </si>
  <si>
    <t>Deferred Revenue</t>
  </si>
  <si>
    <t>us-gaap:ContractWithCustomerLiability</t>
  </si>
  <si>
    <t>Deferred Revenue (e.g., unsatisfied contractual obligation with customer like AppleCare that hasn't expired yet)</t>
  </si>
  <si>
    <t>deferred revenue</t>
  </si>
  <si>
    <t>difference %</t>
  </si>
  <si>
    <t>Inventory + non-current assets + receivables + end cash position</t>
  </si>
  <si>
    <t>Same as this</t>
  </si>
  <si>
    <t>Current Assets</t>
  </si>
  <si>
    <t>us-gaap:AssetsCurrent</t>
  </si>
  <si>
    <t>Marketable Securities Current</t>
  </si>
  <si>
    <t>us-gaap:MarketableSecuritiesCurrent</t>
  </si>
  <si>
    <t>Marketable Securities Non Current</t>
  </si>
  <si>
    <t>us-gaap:MarketableSecuritiesNoncurrent</t>
  </si>
  <si>
    <t>Other Current Assets</t>
  </si>
  <si>
    <t>us-gaap:OtherAssetsCurrent</t>
  </si>
  <si>
    <t>Other Non Current Assets</t>
  </si>
  <si>
    <t>us-gaap:OtherAssetsNoncurrent</t>
  </si>
  <si>
    <t>us-gaap:AssetsNoncurrent</t>
  </si>
  <si>
    <t>current + noncurrent assets</t>
  </si>
  <si>
    <t>Apple-specific vendor non-trade receivables (cannot tease out from document… but Grok says it exists)</t>
  </si>
  <si>
    <t>Total non-current assets = Securities non-current + PPE + other non-current assets</t>
  </si>
  <si>
    <t>Total current assets = Inventory + receivables + cash equiv + securities current + other current assets (+ Apple-specific vendor non-trade receivables)</t>
  </si>
  <si>
    <t>Total Liabilities = LT + ST + payable + other liabilities</t>
  </si>
  <si>
    <t>difference $</t>
  </si>
  <si>
    <t>% current</t>
  </si>
  <si>
    <t>Total Net Sales</t>
  </si>
  <si>
    <t>us-gaap:RevenueFromContractWithCustomerExcludingAssessedTax</t>
  </si>
  <si>
    <t>Cash equivalent</t>
  </si>
  <si>
    <t>total sales</t>
  </si>
  <si>
    <t>total other liabilities</t>
  </si>
  <si>
    <t>total other assets</t>
  </si>
  <si>
    <t>other assets, current / total</t>
  </si>
  <si>
    <t>Cash and other investments</t>
  </si>
  <si>
    <t>Assets</t>
  </si>
  <si>
    <t>Liabilities</t>
  </si>
  <si>
    <t>Equity</t>
  </si>
  <si>
    <t>Accounts payable (Accounts Payable)</t>
  </si>
  <si>
    <t>Balance Sheet elements, with actual labels</t>
  </si>
  <si>
    <t>Non-current assets (Total Non Current Assets)</t>
  </si>
  <si>
    <t>Advance payments for purchases (Other Current Assets)</t>
  </si>
  <si>
    <t>Accounts receivables (Receivables)</t>
  </si>
  <si>
    <t>Inventory (Inventory)</t>
  </si>
  <si>
    <t>Cash (Cash And Cash Equivalents)</t>
  </si>
  <si>
    <t>Investment in market securities (Other Short Term Investments)</t>
  </si>
  <si>
    <t>Advance payments from sales (Current Deferred Revenue)</t>
  </si>
  <si>
    <t>Non-current liabilities (Total Non Current Liabilities Net Minority Interest)</t>
  </si>
  <si>
    <t>Income Statement elements of interest</t>
  </si>
  <si>
    <t>Sales (Total Revenue)</t>
  </si>
  <si>
    <t>COGS (Cost Of Revenue - Reconciled Depreciation)</t>
  </si>
  <si>
    <t>OpEx (Operating Expense)</t>
  </si>
  <si>
    <t>Income tax (Tax Provision)</t>
  </si>
  <si>
    <t>Cash Flow elements of interest</t>
  </si>
  <si>
    <t>Dividends (Common Stock Dividend Paid)</t>
  </si>
  <si>
    <t>Stock buyback (Repurchase of Capital Stock)</t>
  </si>
  <si>
    <t>Check</t>
  </si>
  <si>
    <t>Current liabilities (Total Current Liabilities - Accounts Payable - Current Deferred Revenue)</t>
  </si>
  <si>
    <t>Depreciation (Reconciled Depreciation)</t>
  </si>
  <si>
    <t>Inflation</t>
  </si>
  <si>
    <t>total liquidity</t>
  </si>
  <si>
    <t>cash as % of liquidity</t>
  </si>
  <si>
    <t>Current liabilities</t>
  </si>
  <si>
    <t>noncurrent liabilities</t>
  </si>
  <si>
    <t>dividends as % of net income</t>
  </si>
  <si>
    <t>Stock buyback as % of depreciation</t>
  </si>
  <si>
    <t>equity financing</t>
  </si>
  <si>
    <t>`</t>
  </si>
  <si>
    <t xml:space="preserve">depreciation as % of PPE </t>
  </si>
  <si>
    <t>current liabilities - current portion of non-current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</si>
</sst>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EBC88D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6" fillId="0" borderId="0" xfId="0" applyFont="1"/>
    <xf numFmtId="0" fontId="19" fillId="0" borderId="0" xfId="0" applyFont="1"/>
    <xf numFmtId="11" fontId="19" fillId="0" borderId="0" xfId="0" applyNumberFormat="1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shares issued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'0000320193_financial_facts'!$M$1275:$M$1286</c:f>
              <c:numCache>
                <c:formatCode>m/d/yy</c:formatCode>
                <c:ptCount val="12"/>
                <c:pt idx="0">
                  <c:v>43737</c:v>
                </c:pt>
                <c:pt idx="1">
                  <c:v>44101</c:v>
                </c:pt>
                <c:pt idx="2">
                  <c:v>44101</c:v>
                </c:pt>
                <c:pt idx="3">
                  <c:v>44465</c:v>
                </c:pt>
                <c:pt idx="4">
                  <c:v>44465</c:v>
                </c:pt>
                <c:pt idx="5">
                  <c:v>44829</c:v>
                </c:pt>
                <c:pt idx="6">
                  <c:v>44829</c:v>
                </c:pt>
                <c:pt idx="7">
                  <c:v>45200</c:v>
                </c:pt>
                <c:pt idx="8">
                  <c:v>45200</c:v>
                </c:pt>
                <c:pt idx="9">
                  <c:v>45564</c:v>
                </c:pt>
                <c:pt idx="10">
                  <c:v>45564</c:v>
                </c:pt>
                <c:pt idx="11">
                  <c:v>45928</c:v>
                </c:pt>
              </c:numCache>
            </c:numRef>
          </c:cat>
          <c:val>
            <c:numRef>
              <c:f>'0000320193_financial_facts'!$N$1275:$N$1286</c:f>
              <c:numCache>
                <c:formatCode>General</c:formatCode>
                <c:ptCount val="12"/>
                <c:pt idx="0">
                  <c:v>17772945000</c:v>
                </c:pt>
                <c:pt idx="1">
                  <c:v>16976763000</c:v>
                </c:pt>
                <c:pt idx="2">
                  <c:v>16976763000</c:v>
                </c:pt>
                <c:pt idx="3">
                  <c:v>16426786000</c:v>
                </c:pt>
                <c:pt idx="4">
                  <c:v>16426786000</c:v>
                </c:pt>
                <c:pt idx="5">
                  <c:v>15943425000</c:v>
                </c:pt>
                <c:pt idx="6">
                  <c:v>15943425000</c:v>
                </c:pt>
                <c:pt idx="7">
                  <c:v>15550061000</c:v>
                </c:pt>
                <c:pt idx="8">
                  <c:v>15550061000</c:v>
                </c:pt>
                <c:pt idx="9">
                  <c:v>15116786000</c:v>
                </c:pt>
                <c:pt idx="10">
                  <c:v>15116786000</c:v>
                </c:pt>
                <c:pt idx="11">
                  <c:v>14773260000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8-5240-989B-357DDCA7F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158256"/>
        <c:axId val="619136320"/>
      </c:lineChart>
      <c:dateAx>
        <c:axId val="6191582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36320"/>
        <c:crosses val="autoZero"/>
        <c:auto val="1"/>
        <c:lblOffset val="100"/>
        <c:baseTimeUnit val="days"/>
      </c:dateAx>
      <c:valAx>
        <c:axId val="6191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5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Repurchase of capital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'0000320193_financial_facts'!$L$1231:$L$1250</c:f>
              <c:numCache>
                <c:formatCode>m/d/yy</c:formatCode>
                <c:ptCount val="20"/>
                <c:pt idx="0">
                  <c:v>43373</c:v>
                </c:pt>
                <c:pt idx="1">
                  <c:v>43373</c:v>
                </c:pt>
                <c:pt idx="2">
                  <c:v>43737</c:v>
                </c:pt>
                <c:pt idx="3">
                  <c:v>43737</c:v>
                </c:pt>
                <c:pt idx="4">
                  <c:v>43737</c:v>
                </c:pt>
                <c:pt idx="5">
                  <c:v>44101</c:v>
                </c:pt>
                <c:pt idx="6">
                  <c:v>44101</c:v>
                </c:pt>
                <c:pt idx="7">
                  <c:v>44101</c:v>
                </c:pt>
                <c:pt idx="8">
                  <c:v>44465</c:v>
                </c:pt>
                <c:pt idx="9">
                  <c:v>44465</c:v>
                </c:pt>
                <c:pt idx="10">
                  <c:v>44465</c:v>
                </c:pt>
                <c:pt idx="11">
                  <c:v>44829</c:v>
                </c:pt>
                <c:pt idx="12">
                  <c:v>44829</c:v>
                </c:pt>
                <c:pt idx="13">
                  <c:v>44829</c:v>
                </c:pt>
                <c:pt idx="14">
                  <c:v>45200</c:v>
                </c:pt>
                <c:pt idx="15">
                  <c:v>45200</c:v>
                </c:pt>
                <c:pt idx="16">
                  <c:v>45200</c:v>
                </c:pt>
                <c:pt idx="17">
                  <c:v>45564</c:v>
                </c:pt>
                <c:pt idx="18">
                  <c:v>45564</c:v>
                </c:pt>
                <c:pt idx="19">
                  <c:v>45928</c:v>
                </c:pt>
              </c:numCache>
            </c:numRef>
          </c:cat>
          <c:val>
            <c:numRef>
              <c:f>'0000320193_financial_facts'!$M$1231:$M$1250</c:f>
              <c:numCache>
                <c:formatCode>General</c:formatCode>
                <c:ptCount val="20"/>
                <c:pt idx="0">
                  <c:v>72738000000</c:v>
                </c:pt>
                <c:pt idx="1">
                  <c:v>72738000000</c:v>
                </c:pt>
                <c:pt idx="2">
                  <c:v>66897000000</c:v>
                </c:pt>
                <c:pt idx="3">
                  <c:v>66897000000</c:v>
                </c:pt>
                <c:pt idx="4">
                  <c:v>66897000000</c:v>
                </c:pt>
                <c:pt idx="5">
                  <c:v>72358000000</c:v>
                </c:pt>
                <c:pt idx="6">
                  <c:v>72358000000</c:v>
                </c:pt>
                <c:pt idx="7">
                  <c:v>72358000000</c:v>
                </c:pt>
                <c:pt idx="8">
                  <c:v>85971000000</c:v>
                </c:pt>
                <c:pt idx="9">
                  <c:v>85971000000</c:v>
                </c:pt>
                <c:pt idx="10">
                  <c:v>85971000000</c:v>
                </c:pt>
                <c:pt idx="11">
                  <c:v>89402000000</c:v>
                </c:pt>
                <c:pt idx="12">
                  <c:v>89402000000</c:v>
                </c:pt>
                <c:pt idx="13">
                  <c:v>89402000000</c:v>
                </c:pt>
                <c:pt idx="14">
                  <c:v>77550000000</c:v>
                </c:pt>
                <c:pt idx="15">
                  <c:v>77550000000</c:v>
                </c:pt>
                <c:pt idx="16">
                  <c:v>77550000000</c:v>
                </c:pt>
                <c:pt idx="17">
                  <c:v>94949000000</c:v>
                </c:pt>
                <c:pt idx="18">
                  <c:v>94949000000</c:v>
                </c:pt>
                <c:pt idx="19">
                  <c:v>90711000000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C-8D42-AE10-9C9FAE523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831952"/>
        <c:axId val="462971424"/>
      </c:lineChart>
      <c:dateAx>
        <c:axId val="176083195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71424"/>
        <c:crosses val="autoZero"/>
        <c:auto val="1"/>
        <c:lblOffset val="100"/>
        <c:baseTimeUnit val="days"/>
      </c:dateAx>
      <c:valAx>
        <c:axId val="4629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3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cash as % of liquidity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Needed!$C$44:$J$44</c:f>
              <c:numCache>
                <c:formatCode>General</c:formatCode>
                <c:ptCount val="8"/>
                <c:pt idx="0">
                  <c:v>0.39083875054674894</c:v>
                </c:pt>
                <c:pt idx="1">
                  <c:v>0.48573445906301899</c:v>
                </c:pt>
                <c:pt idx="2">
                  <c:v>0.41802007851071549</c:v>
                </c:pt>
                <c:pt idx="3">
                  <c:v>0.55779945401427222</c:v>
                </c:pt>
                <c:pt idx="4">
                  <c:v>0.48952467704537928</c:v>
                </c:pt>
                <c:pt idx="5">
                  <c:v>0.48680042238648363</c:v>
                </c:pt>
                <c:pt idx="6">
                  <c:v>0.45945282410888277</c:v>
                </c:pt>
                <c:pt idx="7">
                  <c:v>0.65696473298352742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D-A34F-9116-B67FBF068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335424"/>
        <c:axId val="1084337184"/>
      </c:lineChart>
      <c:catAx>
        <c:axId val="108433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37184"/>
        <c:crosses val="autoZero"/>
        <c:auto val="1"/>
        <c:lblAlgn val="ctr"/>
        <c:lblOffset val="100"/>
        <c:noMultiLvlLbl val="0"/>
      </c:catAx>
      <c:valAx>
        <c:axId val="10843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3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Needed!$C$3:$J$3</c:f>
              <c:numCache>
                <c:formatCode>General</c:formatCode>
                <c:ptCount val="8"/>
                <c:pt idx="0">
                  <c:v>234386000000</c:v>
                </c:pt>
                <c:pt idx="1">
                  <c:v>175697000000</c:v>
                </c:pt>
                <c:pt idx="2">
                  <c:v>180175000000</c:v>
                </c:pt>
                <c:pt idx="3">
                  <c:v>216166000000</c:v>
                </c:pt>
                <c:pt idx="4">
                  <c:v>217350000000</c:v>
                </c:pt>
                <c:pt idx="5">
                  <c:v>209017000000</c:v>
                </c:pt>
                <c:pt idx="6">
                  <c:v>211993000000</c:v>
                </c:pt>
                <c:pt idx="7">
                  <c:v>211284000000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D-B34A-A845-D06ECC1A3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97887"/>
        <c:axId val="1764011519"/>
      </c:lineChart>
      <c:catAx>
        <c:axId val="176439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11519"/>
        <c:crosses val="autoZero"/>
        <c:auto val="1"/>
        <c:lblAlgn val="ctr"/>
        <c:lblOffset val="100"/>
        <c:noMultiLvlLbl val="0"/>
      </c:catAx>
      <c:valAx>
        <c:axId val="176401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9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Depreciation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Needed!$C$22:$J$22</c:f>
              <c:numCache>
                <c:formatCode>General</c:formatCode>
                <c:ptCount val="8"/>
                <c:pt idx="0">
                  <c:v>10903000000</c:v>
                </c:pt>
                <c:pt idx="1">
                  <c:v>12547000000</c:v>
                </c:pt>
                <c:pt idx="2">
                  <c:v>11056000000</c:v>
                </c:pt>
                <c:pt idx="3">
                  <c:v>11284000000</c:v>
                </c:pt>
                <c:pt idx="4">
                  <c:v>11104000000</c:v>
                </c:pt>
                <c:pt idx="5">
                  <c:v>11519000000</c:v>
                </c:pt>
                <c:pt idx="6">
                  <c:v>11445000000</c:v>
                </c:pt>
                <c:pt idx="7">
                  <c:v>11698000000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8-1148-9CC0-C9201E59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023584"/>
        <c:axId val="1112025232"/>
      </c:lineChart>
      <c:catAx>
        <c:axId val="111202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25232"/>
        <c:crosses val="autoZero"/>
        <c:auto val="1"/>
        <c:lblAlgn val="ctr"/>
        <c:lblOffset val="100"/>
        <c:noMultiLvlLbl val="0"/>
      </c:catAx>
      <c:valAx>
        <c:axId val="111202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Needed!$C$21:$J$21</c:f>
              <c:numCache>
                <c:formatCode>General</c:formatCode>
                <c:ptCount val="8"/>
                <c:pt idx="0">
                  <c:v>265595000000</c:v>
                </c:pt>
                <c:pt idx="1">
                  <c:v>260174000000</c:v>
                </c:pt>
                <c:pt idx="2">
                  <c:v>274515000000</c:v>
                </c:pt>
                <c:pt idx="3">
                  <c:v>365817000000</c:v>
                </c:pt>
                <c:pt idx="4">
                  <c:v>394328000000</c:v>
                </c:pt>
                <c:pt idx="5">
                  <c:v>383285000000</c:v>
                </c:pt>
                <c:pt idx="6">
                  <c:v>391035000000</c:v>
                </c:pt>
                <c:pt idx="7">
                  <c:v>416161000000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2-C245-9118-8A59D4AD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760704"/>
        <c:axId val="1764254207"/>
      </c:lineChart>
      <c:catAx>
        <c:axId val="62876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54207"/>
        <c:crosses val="autoZero"/>
        <c:auto val="1"/>
        <c:lblAlgn val="ctr"/>
        <c:lblOffset val="100"/>
        <c:noMultiLvlLbl val="0"/>
      </c:catAx>
      <c:valAx>
        <c:axId val="17642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Needed!$C$32:$J$32</c:f>
              <c:numCache>
                <c:formatCode>General</c:formatCode>
                <c:ptCount val="8"/>
                <c:pt idx="0">
                  <c:v>13712000000</c:v>
                </c:pt>
                <c:pt idx="1">
                  <c:v>14119000000</c:v>
                </c:pt>
                <c:pt idx="2">
                  <c:v>14081000000</c:v>
                </c:pt>
                <c:pt idx="3">
                  <c:v>14467000000</c:v>
                </c:pt>
                <c:pt idx="4">
                  <c:v>14841000000</c:v>
                </c:pt>
                <c:pt idx="5">
                  <c:v>15025000000</c:v>
                </c:pt>
                <c:pt idx="6">
                  <c:v>15234000000</c:v>
                </c:pt>
                <c:pt idx="7">
                  <c:v>15421000000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A-9E46-982D-B903A7079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1287984"/>
        <c:axId val="553133760"/>
      </c:lineChart>
      <c:catAx>
        <c:axId val="851287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33760"/>
        <c:crosses val="autoZero"/>
        <c:auto val="1"/>
        <c:lblAlgn val="ctr"/>
        <c:lblOffset val="100"/>
        <c:noMultiLvlLbl val="0"/>
      </c:catAx>
      <c:valAx>
        <c:axId val="5531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2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Dividends</a:t>
            </a:r>
            <a:r>
              <a:rPr lang="en-US" baseline="0"/>
              <a:t> as % of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Needed!$C$45:$J$45</c:f>
              <c:numCache>
                <c:formatCode>General</c:formatCode>
                <c:ptCount val="8"/>
                <c:pt idx="0">
                  <c:v>0.23033377567989788</c:v>
                </c:pt>
                <c:pt idx="1">
                  <c:v>0.25551976255972203</c:v>
                </c:pt>
                <c:pt idx="2">
                  <c:v>0.24526658654264863</c:v>
                </c:pt>
                <c:pt idx="3">
                  <c:v>0.15279890156316012</c:v>
                </c:pt>
                <c:pt idx="4">
                  <c:v>0.14870294480125848</c:v>
                </c:pt>
                <c:pt idx="5">
                  <c:v>0.1549048920047425</c:v>
                </c:pt>
                <c:pt idx="6">
                  <c:v>0.16252026969360758</c:v>
                </c:pt>
                <c:pt idx="7">
                  <c:v>0.13767520757075261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3-474D-879F-56745E095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617856"/>
        <c:axId val="475735456"/>
      </c:lineChart>
      <c:catAx>
        <c:axId val="475617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35456"/>
        <c:crosses val="autoZero"/>
        <c:auto val="1"/>
        <c:lblAlgn val="ctr"/>
        <c:lblOffset val="100"/>
        <c:noMultiLvlLbl val="0"/>
      </c:catAx>
      <c:valAx>
        <c:axId val="4757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1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Needed!$C$26:$J$26</c:f>
              <c:numCache>
                <c:formatCode>General</c:formatCode>
                <c:ptCount val="8"/>
                <c:pt idx="0">
                  <c:v>59531000000</c:v>
                </c:pt>
                <c:pt idx="1">
                  <c:v>55256000000</c:v>
                </c:pt>
                <c:pt idx="2">
                  <c:v>57411000000</c:v>
                </c:pt>
                <c:pt idx="3">
                  <c:v>94680000000</c:v>
                </c:pt>
                <c:pt idx="4">
                  <c:v>99803000000</c:v>
                </c:pt>
                <c:pt idx="5">
                  <c:v>96995000000</c:v>
                </c:pt>
                <c:pt idx="6">
                  <c:v>93736000000</c:v>
                </c:pt>
                <c:pt idx="7">
                  <c:v>112010000000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8-8640-B844-EF6CA4EDC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502991"/>
        <c:axId val="1793833007"/>
      </c:lineChart>
      <c:catAx>
        <c:axId val="1764502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33007"/>
        <c:crosses val="autoZero"/>
        <c:auto val="1"/>
        <c:lblAlgn val="ctr"/>
        <c:lblOffset val="100"/>
        <c:noMultiLvlLbl val="0"/>
      </c:catAx>
      <c:valAx>
        <c:axId val="17938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50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buyback as % of depreciation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Needed!$C$46:$J$46</c:f>
              <c:numCache>
                <c:formatCode>General</c:formatCode>
                <c:ptCount val="8"/>
                <c:pt idx="0">
                  <c:v>6.6713748509584514</c:v>
                </c:pt>
                <c:pt idx="1">
                  <c:v>5.3317127600223158</c:v>
                </c:pt>
                <c:pt idx="2">
                  <c:v>6.5446816208393637</c:v>
                </c:pt>
                <c:pt idx="3">
                  <c:v>7.6188408365827724</c:v>
                </c:pt>
                <c:pt idx="4">
                  <c:v>8.0513328530259365</c:v>
                </c:pt>
                <c:pt idx="5">
                  <c:v>6.732355239170067</c:v>
                </c:pt>
                <c:pt idx="6">
                  <c:v>8.2961118392311057</c:v>
                </c:pt>
                <c:pt idx="7">
                  <c:v>7.7544024619593097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A-2B49-B742-6744E85B0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266239"/>
        <c:axId val="1811057295"/>
      </c:lineChart>
      <c:catAx>
        <c:axId val="1764266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57295"/>
        <c:crosses val="autoZero"/>
        <c:auto val="1"/>
        <c:lblAlgn val="ctr"/>
        <c:lblOffset val="100"/>
        <c:noMultiLvlLbl val="0"/>
      </c:catAx>
      <c:valAx>
        <c:axId val="181105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Equity financing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Needed!$C$49:$J$49</c:f>
              <c:numCache>
                <c:formatCode>General</c:formatCode>
                <c:ptCount val="8"/>
                <c:pt idx="0">
                  <c:v>134066000000</c:v>
                </c:pt>
                <c:pt idx="1">
                  <c:v>9101000000</c:v>
                </c:pt>
                <c:pt idx="2">
                  <c:v>3879000000</c:v>
                </c:pt>
                <c:pt idx="3">
                  <c:v>3509000000</c:v>
                </c:pt>
                <c:pt idx="4">
                  <c:v>-7978000000</c:v>
                </c:pt>
                <c:pt idx="5">
                  <c:v>7054000000</c:v>
                </c:pt>
                <c:pt idx="6">
                  <c:v>11251000000</c:v>
                </c:pt>
                <c:pt idx="7">
                  <c:v>10905000000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5-244C-9859-FDC29510F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543727"/>
        <c:axId val="1937817039"/>
      </c:lineChart>
      <c:catAx>
        <c:axId val="1938543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817039"/>
        <c:crosses val="autoZero"/>
        <c:auto val="1"/>
        <c:lblAlgn val="ctr"/>
        <c:lblOffset val="100"/>
        <c:noMultiLvlLbl val="0"/>
      </c:catAx>
      <c:valAx>
        <c:axId val="193781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4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securities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Needed!$C$8:$J$8</c:f>
              <c:numCache>
                <c:formatCode>General</c:formatCode>
                <c:ptCount val="8"/>
                <c:pt idx="0">
                  <c:v>40388000000</c:v>
                </c:pt>
                <c:pt idx="1">
                  <c:v>51713000000</c:v>
                </c:pt>
                <c:pt idx="2">
                  <c:v>52927000000</c:v>
                </c:pt>
                <c:pt idx="3">
                  <c:v>27699000000</c:v>
                </c:pt>
                <c:pt idx="4">
                  <c:v>24658000000</c:v>
                </c:pt>
                <c:pt idx="5">
                  <c:v>31590000000</c:v>
                </c:pt>
                <c:pt idx="6">
                  <c:v>35228000000</c:v>
                </c:pt>
                <c:pt idx="7">
                  <c:v>18763000000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B-6A4D-AE82-F043CA4B1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103391"/>
        <c:axId val="19874496"/>
      </c:lineChart>
      <c:catAx>
        <c:axId val="1794103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496"/>
        <c:crosses val="autoZero"/>
        <c:auto val="1"/>
        <c:lblAlgn val="ctr"/>
        <c:lblOffset val="100"/>
        <c:noMultiLvlLbl val="0"/>
      </c:catAx>
      <c:valAx>
        <c:axId val="198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10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depreciation as % of PPE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Needed!$C$51:$J$51</c:f>
              <c:numCache>
                <c:formatCode>General</c:formatCode>
                <c:ptCount val="8"/>
                <c:pt idx="0">
                  <c:v>0.26396959132287429</c:v>
                </c:pt>
                <c:pt idx="1">
                  <c:v>0.33567874150569854</c:v>
                </c:pt>
                <c:pt idx="2">
                  <c:v>0.30071261491595497</c:v>
                </c:pt>
                <c:pt idx="3">
                  <c:v>0.28610547667342801</c:v>
                </c:pt>
                <c:pt idx="4">
                  <c:v>0.26364650853574567</c:v>
                </c:pt>
                <c:pt idx="5">
                  <c:v>0.26350223035571313</c:v>
                </c:pt>
                <c:pt idx="6">
                  <c:v>0.25054728546409805</c:v>
                </c:pt>
                <c:pt idx="7">
                  <c:v>0.23473933459084159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4-2E4C-B900-B13279259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32672"/>
        <c:axId val="679337632"/>
      </c:lineChart>
      <c:catAx>
        <c:axId val="2343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337632"/>
        <c:crosses val="autoZero"/>
        <c:auto val="1"/>
        <c:lblAlgn val="ctr"/>
        <c:lblOffset val="100"/>
        <c:noMultiLvlLbl val="0"/>
      </c:catAx>
      <c:valAx>
        <c:axId val="6793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Needed!$C$50:$J$50</c:f>
              <c:numCache>
                <c:formatCode>General</c:formatCode>
                <c:ptCount val="8"/>
                <c:pt idx="0">
                  <c:v>41304000000</c:v>
                </c:pt>
                <c:pt idx="1">
                  <c:v>37378000000</c:v>
                </c:pt>
                <c:pt idx="2">
                  <c:v>36766000000</c:v>
                </c:pt>
                <c:pt idx="3">
                  <c:v>39440000000</c:v>
                </c:pt>
                <c:pt idx="4">
                  <c:v>42117000000</c:v>
                </c:pt>
                <c:pt idx="5">
                  <c:v>43715000000</c:v>
                </c:pt>
                <c:pt idx="6">
                  <c:v>45680000000</c:v>
                </c:pt>
                <c:pt idx="7">
                  <c:v>49834000000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A-5847-A281-C520B8D84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686271"/>
        <c:axId val="79719456"/>
      </c:lineChart>
      <c:catAx>
        <c:axId val="177368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9456"/>
        <c:crosses val="autoZero"/>
        <c:auto val="1"/>
        <c:lblAlgn val="ctr"/>
        <c:lblOffset val="100"/>
        <c:noMultiLvlLbl val="0"/>
      </c:catAx>
      <c:valAx>
        <c:axId val="797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8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liquidity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Needed!$C$43:$J$43</c:f>
              <c:numCache>
                <c:formatCode>General</c:formatCode>
                <c:ptCount val="8"/>
                <c:pt idx="0">
                  <c:v>66301000000</c:v>
                </c:pt>
                <c:pt idx="1">
                  <c:v>100557000000</c:v>
                </c:pt>
                <c:pt idx="2">
                  <c:v>90943000000</c:v>
                </c:pt>
                <c:pt idx="3">
                  <c:v>62639000000</c:v>
                </c:pt>
                <c:pt idx="4">
                  <c:v>48304000000</c:v>
                </c:pt>
                <c:pt idx="5">
                  <c:v>61555000000</c:v>
                </c:pt>
                <c:pt idx="6">
                  <c:v>65171000000</c:v>
                </c:pt>
                <c:pt idx="7">
                  <c:v>54697000000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5-564A-B190-5A8711DA4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665648"/>
        <c:axId val="221449648"/>
      </c:lineChart>
      <c:catAx>
        <c:axId val="221665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49648"/>
        <c:crosses val="autoZero"/>
        <c:auto val="1"/>
        <c:lblAlgn val="ctr"/>
        <c:lblOffset val="100"/>
        <c:noMultiLvlLbl val="0"/>
      </c:catAx>
      <c:valAx>
        <c:axId val="2214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6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Needed!$C$7:$J$7</c:f>
              <c:numCache>
                <c:formatCode>General</c:formatCode>
                <c:ptCount val="8"/>
                <c:pt idx="0">
                  <c:v>25913000000</c:v>
                </c:pt>
                <c:pt idx="1">
                  <c:v>48844000000</c:v>
                </c:pt>
                <c:pt idx="2">
                  <c:v>38016000000</c:v>
                </c:pt>
                <c:pt idx="3">
                  <c:v>34940000000</c:v>
                </c:pt>
                <c:pt idx="4">
                  <c:v>23646000000</c:v>
                </c:pt>
                <c:pt idx="5">
                  <c:v>29965000000</c:v>
                </c:pt>
                <c:pt idx="6">
                  <c:v>29943000000</c:v>
                </c:pt>
                <c:pt idx="7">
                  <c:v>35934000000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1-1E49-ACFF-D1CD3C315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138239"/>
        <c:axId val="133281008"/>
      </c:lineChart>
      <c:catAx>
        <c:axId val="176413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81008"/>
        <c:crosses val="autoZero"/>
        <c:auto val="1"/>
        <c:lblAlgn val="ctr"/>
        <c:lblOffset val="100"/>
        <c:noMultiLvlLbl val="0"/>
      </c:catAx>
      <c:valAx>
        <c:axId val="1332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3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liabilities - current</a:t>
            </a:r>
            <a:r>
              <a:rPr lang="en-US" baseline="0"/>
              <a:t> portion of non-curr liabilities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Needed!$C$41:$J$41</c:f>
              <c:numCache>
                <c:formatCode>General</c:formatCode>
                <c:ptCount val="8"/>
                <c:pt idx="0">
                  <c:v>45291000000</c:v>
                </c:pt>
                <c:pt idx="1">
                  <c:v>43700000000</c:v>
                </c:pt>
                <c:pt idx="2">
                  <c:v>47680000000</c:v>
                </c:pt>
                <c:pt idx="3">
                  <c:v>53493000000</c:v>
                </c:pt>
                <c:pt idx="4">
                  <c:v>70827000000</c:v>
                </c:pt>
                <c:pt idx="5">
                  <c:v>64814000000</c:v>
                </c:pt>
                <c:pt idx="6">
                  <c:v>88271000000</c:v>
                </c:pt>
                <c:pt idx="7">
                  <c:v>74366000000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1-0B49-9A0E-06E7C9D8A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403231"/>
        <c:axId val="308388816"/>
      </c:lineChart>
      <c:catAx>
        <c:axId val="207240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88816"/>
        <c:crosses val="autoZero"/>
        <c:auto val="1"/>
        <c:lblAlgn val="ctr"/>
        <c:lblOffset val="100"/>
        <c:noMultiLvlLbl val="0"/>
      </c:catAx>
      <c:valAx>
        <c:axId val="3083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40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Needed!$C$24:$J$24</c:f>
              <c:numCache>
                <c:formatCode>General</c:formatCode>
                <c:ptCount val="8"/>
                <c:pt idx="0">
                  <c:v>30941000000</c:v>
                </c:pt>
                <c:pt idx="1">
                  <c:v>34462000000</c:v>
                </c:pt>
                <c:pt idx="2">
                  <c:v>38668000000</c:v>
                </c:pt>
                <c:pt idx="3">
                  <c:v>43887000000</c:v>
                </c:pt>
                <c:pt idx="4">
                  <c:v>51345000000</c:v>
                </c:pt>
                <c:pt idx="5">
                  <c:v>54847000000</c:v>
                </c:pt>
                <c:pt idx="6">
                  <c:v>57467000000</c:v>
                </c:pt>
                <c:pt idx="7">
                  <c:v>62151000000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D-5143-8662-B2063AD8F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244400"/>
        <c:axId val="479293552"/>
      </c:lineChart>
      <c:catAx>
        <c:axId val="84024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93552"/>
        <c:crosses val="autoZero"/>
        <c:auto val="1"/>
        <c:lblAlgn val="ctr"/>
        <c:lblOffset val="100"/>
        <c:noMultiLvlLbl val="0"/>
      </c:catAx>
      <c:valAx>
        <c:axId val="4792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equivalent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Assets!$Y$35:$Y$42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Assets!$Z$35:$Z$42</c:f>
              <c:numCache>
                <c:formatCode>General</c:formatCode>
                <c:ptCount val="8"/>
                <c:pt idx="0">
                  <c:v>25913000000</c:v>
                </c:pt>
                <c:pt idx="1">
                  <c:v>48844000000</c:v>
                </c:pt>
                <c:pt idx="2">
                  <c:v>38016000000</c:v>
                </c:pt>
                <c:pt idx="3">
                  <c:v>34940000000</c:v>
                </c:pt>
                <c:pt idx="4">
                  <c:v>23646000000</c:v>
                </c:pt>
                <c:pt idx="5">
                  <c:v>29965000000</c:v>
                </c:pt>
                <c:pt idx="6">
                  <c:v>29943000000</c:v>
                </c:pt>
                <c:pt idx="7">
                  <c:v>35934000000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A-DB44-BDCF-9F938E680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518287"/>
        <c:axId val="2051634351"/>
      </c:lineChart>
      <c:dateAx>
        <c:axId val="205151828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34351"/>
        <c:crosses val="autoZero"/>
        <c:auto val="1"/>
        <c:lblOffset val="100"/>
        <c:baseTimeUnit val="months"/>
      </c:dateAx>
      <c:valAx>
        <c:axId val="20516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1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'Cash Flow'!$M$5:$M$12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'Cash Flow'!$N$5:$N$12</c:f>
              <c:numCache>
                <c:formatCode>General</c:formatCode>
                <c:ptCount val="8"/>
                <c:pt idx="0">
                  <c:v>265600000000</c:v>
                </c:pt>
                <c:pt idx="1">
                  <c:v>260170000000</c:v>
                </c:pt>
                <c:pt idx="2">
                  <c:v>274520000000</c:v>
                </c:pt>
                <c:pt idx="3">
                  <c:v>365820000000</c:v>
                </c:pt>
                <c:pt idx="4">
                  <c:v>394330000000</c:v>
                </c:pt>
                <c:pt idx="5">
                  <c:v>383290000000</c:v>
                </c:pt>
                <c:pt idx="6">
                  <c:v>391040000000</c:v>
                </c:pt>
                <c:pt idx="7">
                  <c:v>416160000000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A-BD49-99CF-76C579DC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380864"/>
        <c:axId val="645382512"/>
      </c:lineChart>
      <c:dateAx>
        <c:axId val="64538086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82512"/>
        <c:crosses val="autoZero"/>
        <c:auto val="1"/>
        <c:lblOffset val="100"/>
        <c:baseTimeUnit val="months"/>
      </c:dateAx>
      <c:valAx>
        <c:axId val="64538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8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and other 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Assets!$AF$46:$AF$53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Assets!$AG$46:$AG$53</c:f>
              <c:numCache>
                <c:formatCode>General</c:formatCode>
                <c:ptCount val="8"/>
                <c:pt idx="0">
                  <c:v>237100000000</c:v>
                </c:pt>
                <c:pt idx="1">
                  <c:v>205898000000</c:v>
                </c:pt>
                <c:pt idx="2">
                  <c:v>191830000000</c:v>
                </c:pt>
                <c:pt idx="3">
                  <c:v>190516000000</c:v>
                </c:pt>
                <c:pt idx="4">
                  <c:v>169109000000</c:v>
                </c:pt>
                <c:pt idx="5">
                  <c:v>162099000000</c:v>
                </c:pt>
                <c:pt idx="6">
                  <c:v>156650000000</c:v>
                </c:pt>
                <c:pt idx="7">
                  <c:v>132420000000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B-E347-B6BA-C10A0003A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683056"/>
        <c:axId val="275386992"/>
      </c:lineChart>
      <c:dateAx>
        <c:axId val="2756830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86992"/>
        <c:crosses val="autoZero"/>
        <c:auto val="1"/>
        <c:lblOffset val="100"/>
        <c:baseTimeUnit val="months"/>
      </c:dateAx>
      <c:valAx>
        <c:axId val="27538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8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 debt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Liabilities!$A$32:$A$59</c:f>
              <c:numCache>
                <c:formatCode>m/d/yy</c:formatCode>
                <c:ptCount val="28"/>
                <c:pt idx="0">
                  <c:v>43373</c:v>
                </c:pt>
                <c:pt idx="1">
                  <c:v>43373</c:v>
                </c:pt>
                <c:pt idx="2">
                  <c:v>43737</c:v>
                </c:pt>
                <c:pt idx="3">
                  <c:v>43737</c:v>
                </c:pt>
                <c:pt idx="4">
                  <c:v>43737</c:v>
                </c:pt>
                <c:pt idx="5">
                  <c:v>43737</c:v>
                </c:pt>
                <c:pt idx="6">
                  <c:v>44101</c:v>
                </c:pt>
                <c:pt idx="7">
                  <c:v>44101</c:v>
                </c:pt>
                <c:pt idx="8">
                  <c:v>44101</c:v>
                </c:pt>
                <c:pt idx="9">
                  <c:v>44101</c:v>
                </c:pt>
                <c:pt idx="10">
                  <c:v>44465</c:v>
                </c:pt>
                <c:pt idx="11">
                  <c:v>44465</c:v>
                </c:pt>
                <c:pt idx="12">
                  <c:v>44465</c:v>
                </c:pt>
                <c:pt idx="13">
                  <c:v>44465</c:v>
                </c:pt>
                <c:pt idx="14">
                  <c:v>44829</c:v>
                </c:pt>
                <c:pt idx="15">
                  <c:v>44829</c:v>
                </c:pt>
                <c:pt idx="16">
                  <c:v>44829</c:v>
                </c:pt>
                <c:pt idx="17">
                  <c:v>44829</c:v>
                </c:pt>
                <c:pt idx="18">
                  <c:v>45200</c:v>
                </c:pt>
                <c:pt idx="19">
                  <c:v>45200</c:v>
                </c:pt>
                <c:pt idx="20">
                  <c:v>45200</c:v>
                </c:pt>
                <c:pt idx="21">
                  <c:v>45200</c:v>
                </c:pt>
                <c:pt idx="22">
                  <c:v>45564</c:v>
                </c:pt>
                <c:pt idx="23">
                  <c:v>45564</c:v>
                </c:pt>
                <c:pt idx="24">
                  <c:v>45564</c:v>
                </c:pt>
                <c:pt idx="25">
                  <c:v>45564</c:v>
                </c:pt>
                <c:pt idx="26">
                  <c:v>45928</c:v>
                </c:pt>
                <c:pt idx="27">
                  <c:v>45928</c:v>
                </c:pt>
              </c:numCache>
            </c:numRef>
          </c:cat>
          <c:val>
            <c:numRef>
              <c:f>Liabilities!$B$32:$B$59</c:f>
              <c:numCache>
                <c:formatCode>General</c:formatCode>
                <c:ptCount val="28"/>
                <c:pt idx="0">
                  <c:v>8784000000</c:v>
                </c:pt>
                <c:pt idx="1">
                  <c:v>8784000000</c:v>
                </c:pt>
                <c:pt idx="2">
                  <c:v>10260000000</c:v>
                </c:pt>
                <c:pt idx="3">
                  <c:v>10260000000</c:v>
                </c:pt>
                <c:pt idx="4">
                  <c:v>10260000000</c:v>
                </c:pt>
                <c:pt idx="5">
                  <c:v>10260000000</c:v>
                </c:pt>
                <c:pt idx="6">
                  <c:v>8773000000</c:v>
                </c:pt>
                <c:pt idx="7">
                  <c:v>8773000000</c:v>
                </c:pt>
                <c:pt idx="8">
                  <c:v>8773000000</c:v>
                </c:pt>
                <c:pt idx="9">
                  <c:v>8773000000</c:v>
                </c:pt>
                <c:pt idx="10">
                  <c:v>9613000000</c:v>
                </c:pt>
                <c:pt idx="11">
                  <c:v>9613000000</c:v>
                </c:pt>
                <c:pt idx="12">
                  <c:v>9613000000</c:v>
                </c:pt>
                <c:pt idx="13">
                  <c:v>9613000000</c:v>
                </c:pt>
                <c:pt idx="14">
                  <c:v>11128000000</c:v>
                </c:pt>
                <c:pt idx="15">
                  <c:v>11128000000</c:v>
                </c:pt>
                <c:pt idx="16">
                  <c:v>11128000000</c:v>
                </c:pt>
                <c:pt idx="17">
                  <c:v>11128000000</c:v>
                </c:pt>
                <c:pt idx="18">
                  <c:v>9822000000</c:v>
                </c:pt>
                <c:pt idx="19">
                  <c:v>9822000000</c:v>
                </c:pt>
                <c:pt idx="20">
                  <c:v>9822000000</c:v>
                </c:pt>
                <c:pt idx="21">
                  <c:v>9822000000</c:v>
                </c:pt>
                <c:pt idx="22">
                  <c:v>10912000000</c:v>
                </c:pt>
                <c:pt idx="23">
                  <c:v>10912000000</c:v>
                </c:pt>
                <c:pt idx="24">
                  <c:v>10912000000</c:v>
                </c:pt>
                <c:pt idx="25">
                  <c:v>10912000000</c:v>
                </c:pt>
                <c:pt idx="26">
                  <c:v>12350000000</c:v>
                </c:pt>
                <c:pt idx="27">
                  <c:v>12350000000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6-DD41-9EFD-EA9CBD543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018464"/>
        <c:axId val="1091899232"/>
      </c:lineChart>
      <c:dateAx>
        <c:axId val="109201846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899232"/>
        <c:crosses val="autoZero"/>
        <c:auto val="1"/>
        <c:lblOffset val="100"/>
        <c:baseTimeUnit val="days"/>
      </c:dateAx>
      <c:valAx>
        <c:axId val="10918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 Debt</a:t>
            </a:r>
            <a:r>
              <a:rPr lang="en-US" baseline="0"/>
              <a:t> noncurrent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Liabilities!$J$32:$J$59</c:f>
              <c:numCache>
                <c:formatCode>m/d/yy</c:formatCode>
                <c:ptCount val="28"/>
                <c:pt idx="0">
                  <c:v>43373</c:v>
                </c:pt>
                <c:pt idx="1">
                  <c:v>43373</c:v>
                </c:pt>
                <c:pt idx="2">
                  <c:v>43737</c:v>
                </c:pt>
                <c:pt idx="3">
                  <c:v>43737</c:v>
                </c:pt>
                <c:pt idx="4">
                  <c:v>43737</c:v>
                </c:pt>
                <c:pt idx="5">
                  <c:v>43737</c:v>
                </c:pt>
                <c:pt idx="6">
                  <c:v>44101</c:v>
                </c:pt>
                <c:pt idx="7">
                  <c:v>44101</c:v>
                </c:pt>
                <c:pt idx="8">
                  <c:v>44101</c:v>
                </c:pt>
                <c:pt idx="9">
                  <c:v>44101</c:v>
                </c:pt>
                <c:pt idx="10">
                  <c:v>44465</c:v>
                </c:pt>
                <c:pt idx="11">
                  <c:v>44465</c:v>
                </c:pt>
                <c:pt idx="12">
                  <c:v>44465</c:v>
                </c:pt>
                <c:pt idx="13">
                  <c:v>44465</c:v>
                </c:pt>
                <c:pt idx="14">
                  <c:v>44829</c:v>
                </c:pt>
                <c:pt idx="15">
                  <c:v>44829</c:v>
                </c:pt>
                <c:pt idx="16">
                  <c:v>44829</c:v>
                </c:pt>
                <c:pt idx="17">
                  <c:v>44829</c:v>
                </c:pt>
                <c:pt idx="18">
                  <c:v>45200</c:v>
                </c:pt>
                <c:pt idx="19">
                  <c:v>45200</c:v>
                </c:pt>
                <c:pt idx="20">
                  <c:v>45200</c:v>
                </c:pt>
                <c:pt idx="21">
                  <c:v>45200</c:v>
                </c:pt>
                <c:pt idx="22">
                  <c:v>45564</c:v>
                </c:pt>
                <c:pt idx="23">
                  <c:v>45564</c:v>
                </c:pt>
                <c:pt idx="24">
                  <c:v>45564</c:v>
                </c:pt>
                <c:pt idx="25">
                  <c:v>45564</c:v>
                </c:pt>
                <c:pt idx="26">
                  <c:v>45928</c:v>
                </c:pt>
                <c:pt idx="27">
                  <c:v>45928</c:v>
                </c:pt>
              </c:numCache>
            </c:numRef>
          </c:cat>
          <c:val>
            <c:numRef>
              <c:f>Liabilities!$K$32:$K$59</c:f>
              <c:numCache>
                <c:formatCode>General</c:formatCode>
                <c:ptCount val="28"/>
                <c:pt idx="0">
                  <c:v>93735000000</c:v>
                </c:pt>
                <c:pt idx="1">
                  <c:v>93735000000</c:v>
                </c:pt>
                <c:pt idx="2">
                  <c:v>91807000000</c:v>
                </c:pt>
                <c:pt idx="3">
                  <c:v>91807000000</c:v>
                </c:pt>
                <c:pt idx="4">
                  <c:v>91807000000</c:v>
                </c:pt>
                <c:pt idx="5">
                  <c:v>91807000000</c:v>
                </c:pt>
                <c:pt idx="6">
                  <c:v>98667000000</c:v>
                </c:pt>
                <c:pt idx="7">
                  <c:v>98667000000</c:v>
                </c:pt>
                <c:pt idx="8">
                  <c:v>98667000000</c:v>
                </c:pt>
                <c:pt idx="9">
                  <c:v>98667000000</c:v>
                </c:pt>
                <c:pt idx="10">
                  <c:v>109106000000</c:v>
                </c:pt>
                <c:pt idx="11">
                  <c:v>109106000000</c:v>
                </c:pt>
                <c:pt idx="12">
                  <c:v>109106000000</c:v>
                </c:pt>
                <c:pt idx="13">
                  <c:v>109106000000</c:v>
                </c:pt>
                <c:pt idx="14">
                  <c:v>98959000000</c:v>
                </c:pt>
                <c:pt idx="15">
                  <c:v>98959000000</c:v>
                </c:pt>
                <c:pt idx="16">
                  <c:v>98959000000</c:v>
                </c:pt>
                <c:pt idx="17">
                  <c:v>98959000000</c:v>
                </c:pt>
                <c:pt idx="18">
                  <c:v>95281000000</c:v>
                </c:pt>
                <c:pt idx="19">
                  <c:v>95281000000</c:v>
                </c:pt>
                <c:pt idx="20">
                  <c:v>95281000000</c:v>
                </c:pt>
                <c:pt idx="21">
                  <c:v>95281000000</c:v>
                </c:pt>
                <c:pt idx="22">
                  <c:v>85750000000</c:v>
                </c:pt>
                <c:pt idx="23">
                  <c:v>85750000000</c:v>
                </c:pt>
                <c:pt idx="24">
                  <c:v>85750000000</c:v>
                </c:pt>
                <c:pt idx="25">
                  <c:v>85750000000</c:v>
                </c:pt>
                <c:pt idx="26">
                  <c:v>78328000000</c:v>
                </c:pt>
                <c:pt idx="27">
                  <c:v>78328000000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6-3342-A7EC-97FFE1B97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455056"/>
        <c:axId val="224525344"/>
      </c:lineChart>
      <c:dateAx>
        <c:axId val="2244550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25344"/>
        <c:crosses val="autoZero"/>
        <c:auto val="1"/>
        <c:lblOffset val="100"/>
        <c:baseTimeUnit val="days"/>
      </c:dateAx>
      <c:valAx>
        <c:axId val="2245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5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Commercial</a:t>
            </a:r>
            <a:r>
              <a:rPr lang="en-US" baseline="0"/>
              <a:t> Paper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Liabilities!$S$32:$S$49</c:f>
              <c:numCache>
                <c:formatCode>m/d/yy</c:formatCode>
                <c:ptCount val="18"/>
                <c:pt idx="0">
                  <c:v>43373</c:v>
                </c:pt>
                <c:pt idx="1">
                  <c:v>43373</c:v>
                </c:pt>
                <c:pt idx="2">
                  <c:v>43737</c:v>
                </c:pt>
                <c:pt idx="3">
                  <c:v>43737</c:v>
                </c:pt>
                <c:pt idx="4">
                  <c:v>43737</c:v>
                </c:pt>
                <c:pt idx="5">
                  <c:v>43737</c:v>
                </c:pt>
                <c:pt idx="6">
                  <c:v>44101</c:v>
                </c:pt>
                <c:pt idx="7">
                  <c:v>44101</c:v>
                </c:pt>
                <c:pt idx="8">
                  <c:v>44101</c:v>
                </c:pt>
                <c:pt idx="9">
                  <c:v>44465</c:v>
                </c:pt>
                <c:pt idx="10">
                  <c:v>44465</c:v>
                </c:pt>
                <c:pt idx="11">
                  <c:v>44829</c:v>
                </c:pt>
                <c:pt idx="12">
                  <c:v>44829</c:v>
                </c:pt>
                <c:pt idx="13">
                  <c:v>45200</c:v>
                </c:pt>
                <c:pt idx="14">
                  <c:v>45200</c:v>
                </c:pt>
                <c:pt idx="15">
                  <c:v>45564</c:v>
                </c:pt>
                <c:pt idx="16">
                  <c:v>45564</c:v>
                </c:pt>
                <c:pt idx="17">
                  <c:v>45928</c:v>
                </c:pt>
              </c:numCache>
            </c:numRef>
          </c:cat>
          <c:val>
            <c:numRef>
              <c:f>Liabilities!$T$32:$T$49</c:f>
              <c:numCache>
                <c:formatCode>General</c:formatCode>
                <c:ptCount val="18"/>
                <c:pt idx="0">
                  <c:v>11964000000</c:v>
                </c:pt>
                <c:pt idx="1">
                  <c:v>12000000000</c:v>
                </c:pt>
                <c:pt idx="2">
                  <c:v>5980000000</c:v>
                </c:pt>
                <c:pt idx="3">
                  <c:v>6000000000</c:v>
                </c:pt>
                <c:pt idx="4">
                  <c:v>5980000000</c:v>
                </c:pt>
                <c:pt idx="5">
                  <c:v>6000000000</c:v>
                </c:pt>
                <c:pt idx="6">
                  <c:v>4996000000</c:v>
                </c:pt>
                <c:pt idx="7">
                  <c:v>4996000000</c:v>
                </c:pt>
                <c:pt idx="8">
                  <c:v>5000000000</c:v>
                </c:pt>
                <c:pt idx="9">
                  <c:v>6000000000</c:v>
                </c:pt>
                <c:pt idx="10">
                  <c:v>6000000000</c:v>
                </c:pt>
                <c:pt idx="11">
                  <c:v>9982000000</c:v>
                </c:pt>
                <c:pt idx="12">
                  <c:v>9982000000</c:v>
                </c:pt>
                <c:pt idx="13">
                  <c:v>5985000000</c:v>
                </c:pt>
                <c:pt idx="14">
                  <c:v>5985000000</c:v>
                </c:pt>
                <c:pt idx="15">
                  <c:v>9967000000</c:v>
                </c:pt>
                <c:pt idx="16">
                  <c:v>9967000000</c:v>
                </c:pt>
                <c:pt idx="17">
                  <c:v>7979000000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3-9041-B7B2-9B566F3E4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71232"/>
        <c:axId val="1182672880"/>
      </c:lineChart>
      <c:dateAx>
        <c:axId val="118267123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72880"/>
        <c:crosses val="autoZero"/>
        <c:auto val="1"/>
        <c:lblOffset val="100"/>
        <c:baseTimeUnit val="days"/>
      </c:dateAx>
      <c:valAx>
        <c:axId val="11826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7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Liabilities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Liabilities!$AL$32:$AL$45</c:f>
              <c:numCache>
                <c:formatCode>m/d/yy</c:formatCode>
                <c:ptCount val="14"/>
                <c:pt idx="0">
                  <c:v>43373</c:v>
                </c:pt>
                <c:pt idx="1">
                  <c:v>43737</c:v>
                </c:pt>
                <c:pt idx="2">
                  <c:v>43737</c:v>
                </c:pt>
                <c:pt idx="3">
                  <c:v>44101</c:v>
                </c:pt>
                <c:pt idx="4">
                  <c:v>44101</c:v>
                </c:pt>
                <c:pt idx="5">
                  <c:v>44465</c:v>
                </c:pt>
                <c:pt idx="6">
                  <c:v>44465</c:v>
                </c:pt>
                <c:pt idx="7">
                  <c:v>44829</c:v>
                </c:pt>
                <c:pt idx="8">
                  <c:v>44829</c:v>
                </c:pt>
                <c:pt idx="9">
                  <c:v>45200</c:v>
                </c:pt>
                <c:pt idx="10">
                  <c:v>45200</c:v>
                </c:pt>
                <c:pt idx="11">
                  <c:v>45564</c:v>
                </c:pt>
                <c:pt idx="12">
                  <c:v>45564</c:v>
                </c:pt>
                <c:pt idx="13">
                  <c:v>45928</c:v>
                </c:pt>
              </c:numCache>
            </c:numRef>
          </c:cat>
          <c:val>
            <c:numRef>
              <c:f>Liabilities!$AM$32:$AM$45</c:f>
              <c:numCache>
                <c:formatCode>General</c:formatCode>
                <c:ptCount val="14"/>
                <c:pt idx="0">
                  <c:v>258578000000</c:v>
                </c:pt>
                <c:pt idx="1">
                  <c:v>248028000000</c:v>
                </c:pt>
                <c:pt idx="2">
                  <c:v>248028000000</c:v>
                </c:pt>
                <c:pt idx="3">
                  <c:v>258549000000</c:v>
                </c:pt>
                <c:pt idx="4">
                  <c:v>258549000000</c:v>
                </c:pt>
                <c:pt idx="5">
                  <c:v>287912000000</c:v>
                </c:pt>
                <c:pt idx="6">
                  <c:v>287912000000</c:v>
                </c:pt>
                <c:pt idx="7">
                  <c:v>302083000000</c:v>
                </c:pt>
                <c:pt idx="8">
                  <c:v>302083000000</c:v>
                </c:pt>
                <c:pt idx="9">
                  <c:v>290437000000</c:v>
                </c:pt>
                <c:pt idx="10">
                  <c:v>290437000000</c:v>
                </c:pt>
                <c:pt idx="11">
                  <c:v>308030000000</c:v>
                </c:pt>
                <c:pt idx="12">
                  <c:v>308030000000</c:v>
                </c:pt>
                <c:pt idx="13">
                  <c:v>285508000000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7-D94A-B333-E6AB273B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627376"/>
        <c:axId val="1959875535"/>
      </c:lineChart>
      <c:dateAx>
        <c:axId val="209162737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75535"/>
        <c:crosses val="autoZero"/>
        <c:auto val="1"/>
        <c:lblOffset val="100"/>
        <c:baseTimeUnit val="days"/>
      </c:dateAx>
      <c:valAx>
        <c:axId val="195987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2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Accounts payable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Liabilities!$S$76:$S$89</c:f>
              <c:numCache>
                <c:formatCode>m/d/yy</c:formatCode>
                <c:ptCount val="14"/>
                <c:pt idx="0">
                  <c:v>43373</c:v>
                </c:pt>
                <c:pt idx="1">
                  <c:v>43737</c:v>
                </c:pt>
                <c:pt idx="2">
                  <c:v>43737</c:v>
                </c:pt>
                <c:pt idx="3">
                  <c:v>44101</c:v>
                </c:pt>
                <c:pt idx="4">
                  <c:v>44101</c:v>
                </c:pt>
                <c:pt idx="5">
                  <c:v>44465</c:v>
                </c:pt>
                <c:pt idx="6">
                  <c:v>44465</c:v>
                </c:pt>
                <c:pt idx="7">
                  <c:v>44829</c:v>
                </c:pt>
                <c:pt idx="8">
                  <c:v>44829</c:v>
                </c:pt>
                <c:pt idx="9">
                  <c:v>45200</c:v>
                </c:pt>
                <c:pt idx="10">
                  <c:v>45200</c:v>
                </c:pt>
                <c:pt idx="11">
                  <c:v>45564</c:v>
                </c:pt>
                <c:pt idx="12">
                  <c:v>45564</c:v>
                </c:pt>
                <c:pt idx="13">
                  <c:v>45928</c:v>
                </c:pt>
              </c:numCache>
            </c:numRef>
          </c:cat>
          <c:val>
            <c:numRef>
              <c:f>Liabilities!$T$76:$T$89</c:f>
              <c:numCache>
                <c:formatCode>General</c:formatCode>
                <c:ptCount val="14"/>
                <c:pt idx="0">
                  <c:v>55888000000</c:v>
                </c:pt>
                <c:pt idx="1">
                  <c:v>46236000000</c:v>
                </c:pt>
                <c:pt idx="2">
                  <c:v>46236000000</c:v>
                </c:pt>
                <c:pt idx="3">
                  <c:v>42296000000</c:v>
                </c:pt>
                <c:pt idx="4">
                  <c:v>42296000000</c:v>
                </c:pt>
                <c:pt idx="5">
                  <c:v>54763000000</c:v>
                </c:pt>
                <c:pt idx="6">
                  <c:v>54763000000</c:v>
                </c:pt>
                <c:pt idx="7">
                  <c:v>64115000000</c:v>
                </c:pt>
                <c:pt idx="8">
                  <c:v>64115000000</c:v>
                </c:pt>
                <c:pt idx="9">
                  <c:v>62611000000</c:v>
                </c:pt>
                <c:pt idx="10">
                  <c:v>62611000000</c:v>
                </c:pt>
                <c:pt idx="11">
                  <c:v>68960000000</c:v>
                </c:pt>
                <c:pt idx="12">
                  <c:v>68960000000</c:v>
                </c:pt>
                <c:pt idx="13">
                  <c:v>69860000000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6-AC4A-9739-B3B30A18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720816"/>
        <c:axId val="2011757983"/>
      </c:lineChart>
      <c:dateAx>
        <c:axId val="117572081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757983"/>
        <c:crosses val="autoZero"/>
        <c:auto val="1"/>
        <c:lblOffset val="100"/>
        <c:baseTimeUnit val="days"/>
      </c:dateAx>
      <c:valAx>
        <c:axId val="20117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2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 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Liabilities!$S$123:$S$130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Liabilities!$T$123:$T$130</c:f>
              <c:numCache>
                <c:formatCode>General</c:formatCode>
                <c:ptCount val="8"/>
                <c:pt idx="0">
                  <c:v>33327000000</c:v>
                </c:pt>
                <c:pt idx="1">
                  <c:v>37720000000</c:v>
                </c:pt>
                <c:pt idx="2">
                  <c:v>42684000000</c:v>
                </c:pt>
                <c:pt idx="3">
                  <c:v>47493000000</c:v>
                </c:pt>
                <c:pt idx="4">
                  <c:v>60845000000</c:v>
                </c:pt>
                <c:pt idx="5">
                  <c:v>58829000000</c:v>
                </c:pt>
                <c:pt idx="6">
                  <c:v>78304000000</c:v>
                </c:pt>
                <c:pt idx="7">
                  <c:v>66387000000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8-2548-B922-844F6A20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111824"/>
        <c:axId val="558890608"/>
      </c:lineChart>
      <c:dateAx>
        <c:axId val="157611182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90608"/>
        <c:crosses val="autoZero"/>
        <c:auto val="1"/>
        <c:lblOffset val="100"/>
        <c:baseTimeUnit val="months"/>
      </c:dateAx>
      <c:valAx>
        <c:axId val="5588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1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 non-current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Liabilities!$AB$123:$AB$130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Liabilities!$AC$123:$AC$130</c:f>
              <c:numCache>
                <c:formatCode>General</c:formatCode>
                <c:ptCount val="8"/>
                <c:pt idx="0">
                  <c:v>48914000000</c:v>
                </c:pt>
                <c:pt idx="1">
                  <c:v>50503000000</c:v>
                </c:pt>
                <c:pt idx="2">
                  <c:v>54490000000</c:v>
                </c:pt>
                <c:pt idx="3">
                  <c:v>53325000000</c:v>
                </c:pt>
                <c:pt idx="4">
                  <c:v>49142000000</c:v>
                </c:pt>
                <c:pt idx="5">
                  <c:v>49848000000</c:v>
                </c:pt>
                <c:pt idx="6">
                  <c:v>45888000000</c:v>
                </c:pt>
                <c:pt idx="7">
                  <c:v>41549000000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C-9B46-8736-FA3E9E49B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970656"/>
        <c:axId val="2034975791"/>
      </c:lineChart>
      <c:dateAx>
        <c:axId val="5579706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75791"/>
        <c:crosses val="autoZero"/>
        <c:auto val="1"/>
        <c:lblOffset val="100"/>
        <c:baseTimeUnit val="months"/>
      </c:dateAx>
      <c:valAx>
        <c:axId val="203497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7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Deferred Revenue,</a:t>
            </a:r>
            <a:r>
              <a:rPr lang="en-US" baseline="0"/>
              <a:t> i.e., </a:t>
            </a:r>
            <a:r>
              <a:rPr lang="en-US"/>
              <a:t>Contract with Customer Liability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Liabilities!$J$111:$J$118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Liabilities!$K$111:$K$118</c:f>
              <c:numCache>
                <c:formatCode>General</c:formatCode>
                <c:ptCount val="8"/>
                <c:pt idx="0">
                  <c:v>8800000000</c:v>
                </c:pt>
                <c:pt idx="1">
                  <c:v>8100000000</c:v>
                </c:pt>
                <c:pt idx="2">
                  <c:v>10200000000</c:v>
                </c:pt>
                <c:pt idx="3">
                  <c:v>11900000000</c:v>
                </c:pt>
                <c:pt idx="4">
                  <c:v>12400000000</c:v>
                </c:pt>
                <c:pt idx="5">
                  <c:v>12100000000</c:v>
                </c:pt>
                <c:pt idx="6">
                  <c:v>12800000000</c:v>
                </c:pt>
                <c:pt idx="7">
                  <c:v>13700000000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4-1A42-B940-5391DE23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958960"/>
        <c:axId val="231824560"/>
      </c:lineChart>
      <c:dateAx>
        <c:axId val="23195896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24560"/>
        <c:crosses val="autoZero"/>
        <c:auto val="1"/>
        <c:lblOffset val="100"/>
        <c:baseTimeUnit val="months"/>
      </c:dateAx>
      <c:valAx>
        <c:axId val="2318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5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 debt + ST debt + acct payable + contract</a:t>
            </a:r>
            <a:r>
              <a:rPr lang="en-US" baseline="0"/>
              <a:t> with customers + </a:t>
            </a:r>
            <a:r>
              <a:rPr lang="en-US"/>
              <a:t>other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Liabilities!$Z$3:$Z$10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Liabilities!$AF$3:$AF$10</c:f>
              <c:numCache>
                <c:formatCode>General</c:formatCode>
                <c:ptCount val="8"/>
                <c:pt idx="0">
                  <c:v>261448000000</c:v>
                </c:pt>
                <c:pt idx="1">
                  <c:v>250626000000</c:v>
                </c:pt>
                <c:pt idx="2">
                  <c:v>262110000000</c:v>
                </c:pt>
                <c:pt idx="3">
                  <c:v>292200000000</c:v>
                </c:pt>
                <c:pt idx="4">
                  <c:v>306571000000</c:v>
                </c:pt>
                <c:pt idx="5">
                  <c:v>294476000000</c:v>
                </c:pt>
                <c:pt idx="6">
                  <c:v>312581000000</c:v>
                </c:pt>
                <c:pt idx="7">
                  <c:v>290153000000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7-724A-946C-B40868B72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508656"/>
        <c:axId val="895099248"/>
      </c:lineChart>
      <c:dateAx>
        <c:axId val="15995086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099248"/>
        <c:crosses val="autoZero"/>
        <c:auto val="1"/>
        <c:lblOffset val="100"/>
        <c:baseTimeUnit val="months"/>
      </c:dateAx>
      <c:valAx>
        <c:axId val="89509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LT debt as % of total LT debt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Liabilities!$D$2:$D$29</c:f>
              <c:numCache>
                <c:formatCode>m/d/yy</c:formatCode>
                <c:ptCount val="28"/>
                <c:pt idx="0">
                  <c:v>43373</c:v>
                </c:pt>
                <c:pt idx="1">
                  <c:v>43373</c:v>
                </c:pt>
                <c:pt idx="2">
                  <c:v>43737</c:v>
                </c:pt>
                <c:pt idx="3">
                  <c:v>43737</c:v>
                </c:pt>
                <c:pt idx="4">
                  <c:v>43737</c:v>
                </c:pt>
                <c:pt idx="5">
                  <c:v>43737</c:v>
                </c:pt>
                <c:pt idx="6">
                  <c:v>44101</c:v>
                </c:pt>
                <c:pt idx="7">
                  <c:v>44101</c:v>
                </c:pt>
                <c:pt idx="8">
                  <c:v>44101</c:v>
                </c:pt>
                <c:pt idx="9">
                  <c:v>44101</c:v>
                </c:pt>
                <c:pt idx="10">
                  <c:v>44465</c:v>
                </c:pt>
                <c:pt idx="11">
                  <c:v>44465</c:v>
                </c:pt>
                <c:pt idx="12">
                  <c:v>44465</c:v>
                </c:pt>
                <c:pt idx="13">
                  <c:v>44465</c:v>
                </c:pt>
                <c:pt idx="14">
                  <c:v>44829</c:v>
                </c:pt>
                <c:pt idx="15">
                  <c:v>44829</c:v>
                </c:pt>
                <c:pt idx="16">
                  <c:v>44829</c:v>
                </c:pt>
                <c:pt idx="17">
                  <c:v>44829</c:v>
                </c:pt>
                <c:pt idx="18">
                  <c:v>45200</c:v>
                </c:pt>
                <c:pt idx="19">
                  <c:v>45200</c:v>
                </c:pt>
                <c:pt idx="20">
                  <c:v>45200</c:v>
                </c:pt>
                <c:pt idx="21">
                  <c:v>45200</c:v>
                </c:pt>
                <c:pt idx="22">
                  <c:v>45564</c:v>
                </c:pt>
                <c:pt idx="23">
                  <c:v>45564</c:v>
                </c:pt>
                <c:pt idx="24">
                  <c:v>45564</c:v>
                </c:pt>
                <c:pt idx="25">
                  <c:v>45564</c:v>
                </c:pt>
                <c:pt idx="26">
                  <c:v>45928</c:v>
                </c:pt>
                <c:pt idx="27">
                  <c:v>45928</c:v>
                </c:pt>
              </c:numCache>
            </c:numRef>
          </c:cat>
          <c:val>
            <c:numRef>
              <c:f>Liabilities!$P$2:$P$29</c:f>
              <c:numCache>
                <c:formatCode>General</c:formatCode>
                <c:ptCount val="28"/>
                <c:pt idx="0">
                  <c:v>8.5681678518128343E-2</c:v>
                </c:pt>
                <c:pt idx="1">
                  <c:v>8.5681678518128343E-2</c:v>
                </c:pt>
                <c:pt idx="2">
                  <c:v>0.1005222060019399</c:v>
                </c:pt>
                <c:pt idx="3">
                  <c:v>0.1005222060019399</c:v>
                </c:pt>
                <c:pt idx="4">
                  <c:v>0.1005222060019399</c:v>
                </c:pt>
                <c:pt idx="5">
                  <c:v>0.1005222060019399</c:v>
                </c:pt>
                <c:pt idx="6">
                  <c:v>8.1654877140729706E-2</c:v>
                </c:pt>
                <c:pt idx="7">
                  <c:v>8.1654877140729706E-2</c:v>
                </c:pt>
                <c:pt idx="8">
                  <c:v>8.1654877140729706E-2</c:v>
                </c:pt>
                <c:pt idx="9">
                  <c:v>8.1654877140729706E-2</c:v>
                </c:pt>
                <c:pt idx="10">
                  <c:v>8.0972717088250407E-2</c:v>
                </c:pt>
                <c:pt idx="11">
                  <c:v>8.0972717088250407E-2</c:v>
                </c:pt>
                <c:pt idx="12">
                  <c:v>8.0972717088250407E-2</c:v>
                </c:pt>
                <c:pt idx="13">
                  <c:v>8.0972717088250407E-2</c:v>
                </c:pt>
                <c:pt idx="14">
                  <c:v>0.10108368835557333</c:v>
                </c:pt>
                <c:pt idx="15">
                  <c:v>0.10108368835557333</c:v>
                </c:pt>
                <c:pt idx="16">
                  <c:v>0.10108368835557333</c:v>
                </c:pt>
                <c:pt idx="17">
                  <c:v>0.10108368835557333</c:v>
                </c:pt>
                <c:pt idx="18">
                  <c:v>9.3451185979467763E-2</c:v>
                </c:pt>
                <c:pt idx="19">
                  <c:v>9.3451185979467763E-2</c:v>
                </c:pt>
                <c:pt idx="20">
                  <c:v>9.3451185979467763E-2</c:v>
                </c:pt>
                <c:pt idx="21">
                  <c:v>9.3451185979467763E-2</c:v>
                </c:pt>
                <c:pt idx="22">
                  <c:v>0.11288820839626741</c:v>
                </c:pt>
                <c:pt idx="23">
                  <c:v>0.11288820839626741</c:v>
                </c:pt>
                <c:pt idx="24">
                  <c:v>0.11288820839626741</c:v>
                </c:pt>
                <c:pt idx="25">
                  <c:v>0.11288820839626741</c:v>
                </c:pt>
                <c:pt idx="26">
                  <c:v>0.13619621076777166</c:v>
                </c:pt>
                <c:pt idx="27">
                  <c:v>0.13619621076777166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1-4E40-959E-B293402A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326879"/>
        <c:axId val="1737094399"/>
      </c:lineChart>
      <c:dateAx>
        <c:axId val="173732687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094399"/>
        <c:crosses val="autoZero"/>
        <c:auto val="1"/>
        <c:lblOffset val="100"/>
        <c:baseTimeUnit val="days"/>
      </c:dateAx>
      <c:valAx>
        <c:axId val="173709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2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other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Liabilities!$Y$141:$Y$148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Liabilities!$Z$141:$Z$148</c:f>
              <c:numCache>
                <c:formatCode>General</c:formatCode>
                <c:ptCount val="8"/>
                <c:pt idx="0">
                  <c:v>82241000000</c:v>
                </c:pt>
                <c:pt idx="1">
                  <c:v>88223000000</c:v>
                </c:pt>
                <c:pt idx="2">
                  <c:v>97174000000</c:v>
                </c:pt>
                <c:pt idx="3">
                  <c:v>100818000000</c:v>
                </c:pt>
                <c:pt idx="4">
                  <c:v>109987000000</c:v>
                </c:pt>
                <c:pt idx="5">
                  <c:v>108677000000</c:v>
                </c:pt>
                <c:pt idx="6">
                  <c:v>124192000000</c:v>
                </c:pt>
                <c:pt idx="7">
                  <c:v>107936000000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F-964F-8DFF-1EBA158BE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299439"/>
        <c:axId val="837469504"/>
      </c:lineChart>
      <c:dateAx>
        <c:axId val="167629943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469504"/>
        <c:crosses val="autoZero"/>
        <c:auto val="1"/>
        <c:lblOffset val="100"/>
        <c:baseTimeUnit val="months"/>
      </c:dateAx>
      <c:valAx>
        <c:axId val="83746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9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Liabilities!$AL$61:$AL$68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Liabilities!$AM$61:$AM$68</c:f>
              <c:numCache>
                <c:formatCode>General</c:formatCode>
                <c:ptCount val="8"/>
                <c:pt idx="0">
                  <c:v>55012000000</c:v>
                </c:pt>
                <c:pt idx="1">
                  <c:v>53960000000</c:v>
                </c:pt>
                <c:pt idx="2">
                  <c:v>56453000000</c:v>
                </c:pt>
                <c:pt idx="3">
                  <c:v>63106000000</c:v>
                </c:pt>
                <c:pt idx="4">
                  <c:v>81955000000</c:v>
                </c:pt>
                <c:pt idx="5">
                  <c:v>74636000000</c:v>
                </c:pt>
                <c:pt idx="6">
                  <c:v>99183000000</c:v>
                </c:pt>
                <c:pt idx="7">
                  <c:v>86716000000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2-9844-BE00-C9CABEC63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678079"/>
        <c:axId val="1581976959"/>
      </c:lineChart>
      <c:dateAx>
        <c:axId val="158167807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76959"/>
        <c:crosses val="autoZero"/>
        <c:auto val="1"/>
        <c:lblOffset val="100"/>
        <c:baseTimeUnit val="months"/>
      </c:dateAx>
      <c:valAx>
        <c:axId val="158197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67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Liabilities!$AL$75:$AL$82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Liabilities!$AM$75:$AM$82</c:f>
              <c:numCache>
                <c:formatCode>0.00E+00</c:formatCode>
                <c:ptCount val="8"/>
                <c:pt idx="0">
                  <c:v>141712000000</c:v>
                </c:pt>
                <c:pt idx="1">
                  <c:v>142310000000</c:v>
                </c:pt>
                <c:pt idx="2">
                  <c:v>153157000000</c:v>
                </c:pt>
                <c:pt idx="3">
                  <c:v>162431000000</c:v>
                </c:pt>
                <c:pt idx="4">
                  <c:v>148101000000</c:v>
                </c:pt>
                <c:pt idx="5">
                  <c:v>145129000000</c:v>
                </c:pt>
                <c:pt idx="6">
                  <c:v>131638000000</c:v>
                </c:pt>
                <c:pt idx="7">
                  <c:v>119877000000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7-1F4F-88C4-5CD68F695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925392"/>
        <c:axId val="1462826384"/>
      </c:lineChart>
      <c:dateAx>
        <c:axId val="14629253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26384"/>
        <c:crosses val="autoZero"/>
        <c:auto val="1"/>
        <c:lblOffset val="100"/>
        <c:baseTimeUnit val="months"/>
      </c:dateAx>
      <c:valAx>
        <c:axId val="14628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92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Stockholders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Equity!$S$2:$S$11</c:f>
              <c:numCache>
                <c:formatCode>m/d/yy</c:formatCode>
                <c:ptCount val="10"/>
                <c:pt idx="0">
                  <c:v>42638</c:v>
                </c:pt>
                <c:pt idx="1">
                  <c:v>43009</c:v>
                </c:pt>
                <c:pt idx="2">
                  <c:v>43373</c:v>
                </c:pt>
                <c:pt idx="3">
                  <c:v>43737</c:v>
                </c:pt>
                <c:pt idx="4">
                  <c:v>44101</c:v>
                </c:pt>
                <c:pt idx="5">
                  <c:v>44465</c:v>
                </c:pt>
                <c:pt idx="6">
                  <c:v>44829</c:v>
                </c:pt>
                <c:pt idx="7">
                  <c:v>45200</c:v>
                </c:pt>
                <c:pt idx="8">
                  <c:v>45564</c:v>
                </c:pt>
                <c:pt idx="9">
                  <c:v>45928</c:v>
                </c:pt>
              </c:numCache>
            </c:numRef>
          </c:cat>
          <c:val>
            <c:numRef>
              <c:f>Equity!$T$2:$T$11</c:f>
              <c:numCache>
                <c:formatCode>General</c:formatCode>
                <c:ptCount val="10"/>
                <c:pt idx="0">
                  <c:v>128249000000</c:v>
                </c:pt>
                <c:pt idx="1">
                  <c:v>134047000000</c:v>
                </c:pt>
                <c:pt idx="2">
                  <c:v>107147000000</c:v>
                </c:pt>
                <c:pt idx="3">
                  <c:v>90488000000</c:v>
                </c:pt>
                <c:pt idx="4">
                  <c:v>65339000000</c:v>
                </c:pt>
                <c:pt idx="5">
                  <c:v>63090000000</c:v>
                </c:pt>
                <c:pt idx="6">
                  <c:v>50672000000</c:v>
                </c:pt>
                <c:pt idx="7">
                  <c:v>62146000000</c:v>
                </c:pt>
                <c:pt idx="8">
                  <c:v>56950000000</c:v>
                </c:pt>
                <c:pt idx="9">
                  <c:v>73733000000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3-2B4C-92E1-F5D6AC36F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349759"/>
        <c:axId val="2072806799"/>
      </c:lineChart>
      <c:dateAx>
        <c:axId val="19173497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06799"/>
        <c:crosses val="autoZero"/>
        <c:auto val="1"/>
        <c:lblOffset val="100"/>
        <c:baseTimeUnit val="months"/>
      </c:dateAx>
      <c:valAx>
        <c:axId val="20728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4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equivalent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Assets!$Y$35:$Y$42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Assets!$Z$35:$Z$42</c:f>
              <c:numCache>
                <c:formatCode>General</c:formatCode>
                <c:ptCount val="8"/>
                <c:pt idx="0">
                  <c:v>25913000000</c:v>
                </c:pt>
                <c:pt idx="1">
                  <c:v>48844000000</c:v>
                </c:pt>
                <c:pt idx="2">
                  <c:v>38016000000</c:v>
                </c:pt>
                <c:pt idx="3">
                  <c:v>34940000000</c:v>
                </c:pt>
                <c:pt idx="4">
                  <c:v>23646000000</c:v>
                </c:pt>
                <c:pt idx="5">
                  <c:v>29965000000</c:v>
                </c:pt>
                <c:pt idx="6">
                  <c:v>29943000000</c:v>
                </c:pt>
                <c:pt idx="7">
                  <c:v>35934000000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3-BE4F-A6DE-036FEDDFB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518287"/>
        <c:axId val="2051634351"/>
      </c:lineChart>
      <c:dateAx>
        <c:axId val="205151828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34351"/>
        <c:crosses val="autoZero"/>
        <c:auto val="1"/>
        <c:lblOffset val="100"/>
        <c:baseTimeUnit val="months"/>
      </c:dateAx>
      <c:valAx>
        <c:axId val="20516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1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 assets,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Assets!$D$77:$D$84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Assets!$E$77:$E$84</c:f>
              <c:numCache>
                <c:formatCode>General</c:formatCode>
                <c:ptCount val="8"/>
                <c:pt idx="0">
                  <c:v>12087000000</c:v>
                </c:pt>
                <c:pt idx="1">
                  <c:v>12352000000</c:v>
                </c:pt>
                <c:pt idx="2">
                  <c:v>11264000000</c:v>
                </c:pt>
                <c:pt idx="3">
                  <c:v>14111000000</c:v>
                </c:pt>
                <c:pt idx="4">
                  <c:v>21223000000</c:v>
                </c:pt>
                <c:pt idx="5">
                  <c:v>14695000000</c:v>
                </c:pt>
                <c:pt idx="6">
                  <c:v>14287000000</c:v>
                </c:pt>
                <c:pt idx="7">
                  <c:v>14585000000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1-4645-B67F-A391FB94F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819311"/>
        <c:axId val="1795631183"/>
      </c:lineChart>
      <c:dateAx>
        <c:axId val="179581931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31183"/>
        <c:crosses val="autoZero"/>
        <c:auto val="1"/>
        <c:lblOffset val="100"/>
        <c:baseTimeUnit val="months"/>
      </c:dateAx>
      <c:valAx>
        <c:axId val="179563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81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 assets, non-current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Assets!$M$92:$M$99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Assets!$N$92:$N$99</c:f>
              <c:numCache>
                <c:formatCode>General</c:formatCode>
                <c:ptCount val="8"/>
                <c:pt idx="0">
                  <c:v>22283000000</c:v>
                </c:pt>
                <c:pt idx="1">
                  <c:v>32978000000</c:v>
                </c:pt>
                <c:pt idx="2">
                  <c:v>42522000000</c:v>
                </c:pt>
                <c:pt idx="3">
                  <c:v>48849000000</c:v>
                </c:pt>
                <c:pt idx="4">
                  <c:v>54428000000</c:v>
                </c:pt>
                <c:pt idx="5">
                  <c:v>64758000000</c:v>
                </c:pt>
                <c:pt idx="6">
                  <c:v>74834000000</c:v>
                </c:pt>
                <c:pt idx="7">
                  <c:v>83727000000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5-8544-8E1C-9D34A3389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806559"/>
        <c:axId val="276865952"/>
      </c:lineChart>
      <c:dateAx>
        <c:axId val="17958065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865952"/>
        <c:crosses val="autoZero"/>
        <c:auto val="1"/>
        <c:lblOffset val="100"/>
        <c:baseTimeUnit val="months"/>
      </c:dateAx>
      <c:valAx>
        <c:axId val="27686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8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</a:t>
            </a:r>
            <a:r>
              <a:rPr lang="en-US"/>
              <a:t>ther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Assets!$G$95:$G$102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Assets!$H$95:$H$102</c:f>
              <c:numCache>
                <c:formatCode>General</c:formatCode>
                <c:ptCount val="8"/>
                <c:pt idx="0">
                  <c:v>34370000000</c:v>
                </c:pt>
                <c:pt idx="1">
                  <c:v>45330000000</c:v>
                </c:pt>
                <c:pt idx="2">
                  <c:v>53786000000</c:v>
                </c:pt>
                <c:pt idx="3">
                  <c:v>62960000000</c:v>
                </c:pt>
                <c:pt idx="4">
                  <c:v>75651000000</c:v>
                </c:pt>
                <c:pt idx="5">
                  <c:v>79453000000</c:v>
                </c:pt>
                <c:pt idx="6">
                  <c:v>89121000000</c:v>
                </c:pt>
                <c:pt idx="7">
                  <c:v>98312000000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F-8E43-93D8-CC5AFCB0C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77520"/>
        <c:axId val="463134608"/>
      </c:lineChart>
      <c:dateAx>
        <c:axId val="640775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34608"/>
        <c:crosses val="autoZero"/>
        <c:auto val="1"/>
        <c:lblOffset val="100"/>
        <c:baseTimeUnit val="months"/>
      </c:dateAx>
      <c:valAx>
        <c:axId val="4631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Assets!$AC$11:$AC$18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Assets!$AD$11:$AD$18</c:f>
              <c:numCache>
                <c:formatCode>General</c:formatCode>
                <c:ptCount val="8"/>
                <c:pt idx="0">
                  <c:v>365725000000</c:v>
                </c:pt>
                <c:pt idx="1">
                  <c:v>338516000000</c:v>
                </c:pt>
                <c:pt idx="2">
                  <c:v>323888000000</c:v>
                </c:pt>
                <c:pt idx="3">
                  <c:v>351002000000</c:v>
                </c:pt>
                <c:pt idx="4">
                  <c:v>352755000000</c:v>
                </c:pt>
                <c:pt idx="5">
                  <c:v>352583000000</c:v>
                </c:pt>
                <c:pt idx="6">
                  <c:v>364980000000</c:v>
                </c:pt>
                <c:pt idx="7">
                  <c:v>359241000000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6-FB4A-A052-DF4CBEA4A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538768"/>
        <c:axId val="645540416"/>
      </c:lineChart>
      <c:dateAx>
        <c:axId val="6455387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40416"/>
        <c:crosses val="autoZero"/>
        <c:auto val="1"/>
        <c:lblOffset val="100"/>
        <c:baseTimeUnit val="months"/>
      </c:dateAx>
      <c:valAx>
        <c:axId val="6455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3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Assets!$E$35:$E$42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Assets!$F$35:$F$42</c:f>
              <c:numCache>
                <c:formatCode>General</c:formatCode>
                <c:ptCount val="8"/>
                <c:pt idx="0">
                  <c:v>3956000000</c:v>
                </c:pt>
                <c:pt idx="1">
                  <c:v>4106000000</c:v>
                </c:pt>
                <c:pt idx="2">
                  <c:v>4061000000</c:v>
                </c:pt>
                <c:pt idx="3">
                  <c:v>6580000000</c:v>
                </c:pt>
                <c:pt idx="4">
                  <c:v>4946000000</c:v>
                </c:pt>
                <c:pt idx="5">
                  <c:v>6331000000</c:v>
                </c:pt>
                <c:pt idx="6">
                  <c:v>7286000000</c:v>
                </c:pt>
                <c:pt idx="7">
                  <c:v>5718000000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8-094D-8F57-C06C27A85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200927"/>
        <c:axId val="462943824"/>
      </c:lineChart>
      <c:dateAx>
        <c:axId val="179620092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43824"/>
        <c:crosses val="autoZero"/>
        <c:auto val="1"/>
        <c:lblOffset val="100"/>
        <c:baseTimeUnit val="months"/>
      </c:dateAx>
      <c:valAx>
        <c:axId val="46294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0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Acct. Receivables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Assets!$E$2:$E$9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Assets!$F$2:$F$9</c:f>
              <c:numCache>
                <c:formatCode>General</c:formatCode>
                <c:ptCount val="8"/>
                <c:pt idx="0">
                  <c:v>23186000000</c:v>
                </c:pt>
                <c:pt idx="1">
                  <c:v>22926000000</c:v>
                </c:pt>
                <c:pt idx="2">
                  <c:v>16120000000</c:v>
                </c:pt>
                <c:pt idx="3">
                  <c:v>26278000000</c:v>
                </c:pt>
                <c:pt idx="4">
                  <c:v>28184000000</c:v>
                </c:pt>
                <c:pt idx="5">
                  <c:v>29508000000</c:v>
                </c:pt>
                <c:pt idx="6">
                  <c:v>33410000000</c:v>
                </c:pt>
                <c:pt idx="7">
                  <c:v>39777000000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C-8A44-A6AD-F1682EBF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145791"/>
        <c:axId val="2008774831"/>
      </c:lineChart>
      <c:dateAx>
        <c:axId val="200814579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74831"/>
        <c:crosses val="autoZero"/>
        <c:auto val="1"/>
        <c:lblOffset val="100"/>
        <c:baseTimeUnit val="months"/>
      </c:dateAx>
      <c:valAx>
        <c:axId val="20087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4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Assets!$E$54:$E$61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Assets!$F$54:$F$61</c:f>
              <c:numCache>
                <c:formatCode>General</c:formatCode>
                <c:ptCount val="8"/>
                <c:pt idx="0">
                  <c:v>40388000000</c:v>
                </c:pt>
                <c:pt idx="1">
                  <c:v>51713000000</c:v>
                </c:pt>
                <c:pt idx="2">
                  <c:v>52927000000</c:v>
                </c:pt>
                <c:pt idx="3">
                  <c:v>27699000000</c:v>
                </c:pt>
                <c:pt idx="4">
                  <c:v>24658000000</c:v>
                </c:pt>
                <c:pt idx="5">
                  <c:v>31590000000</c:v>
                </c:pt>
                <c:pt idx="6">
                  <c:v>35228000000</c:v>
                </c:pt>
                <c:pt idx="7">
                  <c:v>18763000000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D-E947-BD35-8FD454F03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105968"/>
        <c:axId val="2052196047"/>
      </c:lineChart>
      <c:dateAx>
        <c:axId val="2771059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196047"/>
        <c:crosses val="autoZero"/>
        <c:auto val="1"/>
        <c:lblOffset val="100"/>
        <c:baseTimeUnit val="months"/>
      </c:dateAx>
      <c:valAx>
        <c:axId val="20521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0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</a:t>
            </a:r>
            <a:r>
              <a:rPr lang="en-US" baseline="0"/>
              <a:t> investment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Assets!$N$54:$N$61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Assets!$O$54:$O$61</c:f>
              <c:numCache>
                <c:formatCode>General</c:formatCode>
                <c:ptCount val="8"/>
                <c:pt idx="0">
                  <c:v>170799000000</c:v>
                </c:pt>
                <c:pt idx="1">
                  <c:v>105341000000</c:v>
                </c:pt>
                <c:pt idx="2">
                  <c:v>100887000000</c:v>
                </c:pt>
                <c:pt idx="3">
                  <c:v>127877000000</c:v>
                </c:pt>
                <c:pt idx="4">
                  <c:v>120805000000</c:v>
                </c:pt>
                <c:pt idx="5">
                  <c:v>100544000000</c:v>
                </c:pt>
                <c:pt idx="6">
                  <c:v>91479000000</c:v>
                </c:pt>
                <c:pt idx="7">
                  <c:v>77723000000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4-FB43-9BA2-9263769E7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206127"/>
        <c:axId val="1795957503"/>
      </c:lineChart>
      <c:dateAx>
        <c:axId val="207220612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957503"/>
        <c:crosses val="autoZero"/>
        <c:auto val="1"/>
        <c:lblOffset val="100"/>
        <c:baseTimeUnit val="months"/>
      </c:dateAx>
      <c:valAx>
        <c:axId val="179595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0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Assets!$N$67:$N$74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Assets!$O$67:$O$74</c:f>
              <c:numCache>
                <c:formatCode>General</c:formatCode>
                <c:ptCount val="8"/>
                <c:pt idx="0">
                  <c:v>41304000000</c:v>
                </c:pt>
                <c:pt idx="1">
                  <c:v>37378000000</c:v>
                </c:pt>
                <c:pt idx="2">
                  <c:v>36766000000</c:v>
                </c:pt>
                <c:pt idx="3">
                  <c:v>39440000000</c:v>
                </c:pt>
                <c:pt idx="4">
                  <c:v>42117000000</c:v>
                </c:pt>
                <c:pt idx="5">
                  <c:v>43715000000</c:v>
                </c:pt>
                <c:pt idx="6">
                  <c:v>45680000000</c:v>
                </c:pt>
                <c:pt idx="7">
                  <c:v>49834000000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C-5B49-97D4-FAC203B73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972831"/>
        <c:axId val="28755840"/>
      </c:lineChart>
      <c:dateAx>
        <c:axId val="205297283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5840"/>
        <c:crosses val="autoZero"/>
        <c:auto val="1"/>
        <c:lblOffset val="100"/>
        <c:baseTimeUnit val="months"/>
      </c:dateAx>
      <c:valAx>
        <c:axId val="287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7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non-trade receivables (i.e., advance payments to vendors)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Assets!$N$20:$N$27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Assets!$R$20:$R$27</c:f>
              <c:numCache>
                <c:formatCode>General</c:formatCode>
                <c:ptCount val="8"/>
                <c:pt idx="0">
                  <c:v>25809000000</c:v>
                </c:pt>
                <c:pt idx="1">
                  <c:v>22878000000</c:v>
                </c:pt>
                <c:pt idx="2">
                  <c:v>21325000000</c:v>
                </c:pt>
                <c:pt idx="3">
                  <c:v>25228000000</c:v>
                </c:pt>
                <c:pt idx="4">
                  <c:v>32748000000</c:v>
                </c:pt>
                <c:pt idx="5">
                  <c:v>31477000000</c:v>
                </c:pt>
                <c:pt idx="6">
                  <c:v>32833000000</c:v>
                </c:pt>
                <c:pt idx="7">
                  <c:v>33180000000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D-6B46-8689-B857E7374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595823"/>
        <c:axId val="2008510447"/>
      </c:lineChart>
      <c:dateAx>
        <c:axId val="200859582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510447"/>
        <c:crosses val="autoZero"/>
        <c:auto val="1"/>
        <c:lblOffset val="100"/>
        <c:baseTimeUnit val="months"/>
      </c:dateAx>
      <c:valAx>
        <c:axId val="200851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59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 assets, current /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Assets!$K$109:$K$116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Assets!$L$109:$L$116</c:f>
              <c:numCache>
                <c:formatCode>General</c:formatCode>
                <c:ptCount val="8"/>
                <c:pt idx="0">
                  <c:v>0</c:v>
                </c:pt>
                <c:pt idx="1">
                  <c:v>0.27249062431061105</c:v>
                </c:pt>
                <c:pt idx="2">
                  <c:v>0.20942252630796118</c:v>
                </c:pt>
                <c:pt idx="3">
                  <c:v>0.2241264294790343</c:v>
                </c:pt>
                <c:pt idx="4">
                  <c:v>0.28053826122589259</c:v>
                </c:pt>
                <c:pt idx="5">
                  <c:v>0.18495211005248385</c:v>
                </c:pt>
                <c:pt idx="6">
                  <c:v>0.16031014014654235</c:v>
                </c:pt>
                <c:pt idx="7">
                  <c:v>0.14835421922044104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4-584C-B719-E37C2146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063888"/>
        <c:axId val="619065536"/>
      </c:lineChart>
      <c:dateAx>
        <c:axId val="61906388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65536"/>
        <c:crosses val="autoZero"/>
        <c:auto val="1"/>
        <c:lblOffset val="100"/>
        <c:baseTimeUnit val="months"/>
      </c:dateAx>
      <c:valAx>
        <c:axId val="6190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6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and other 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Assets!$AF$46:$AF$53</c:f>
              <c:numCache>
                <c:formatCode>m/d/yy</c:formatCode>
                <c:ptCount val="8"/>
                <c:pt idx="0">
                  <c:v>43373</c:v>
                </c:pt>
                <c:pt idx="1">
                  <c:v>43737</c:v>
                </c:pt>
                <c:pt idx="2">
                  <c:v>44101</c:v>
                </c:pt>
                <c:pt idx="3">
                  <c:v>44465</c:v>
                </c:pt>
                <c:pt idx="4">
                  <c:v>44829</c:v>
                </c:pt>
                <c:pt idx="5">
                  <c:v>45200</c:v>
                </c:pt>
                <c:pt idx="6">
                  <c:v>45564</c:v>
                </c:pt>
                <c:pt idx="7">
                  <c:v>45928</c:v>
                </c:pt>
              </c:numCache>
            </c:numRef>
          </c:cat>
          <c:val>
            <c:numRef>
              <c:f>Assets!$AG$46:$AG$53</c:f>
              <c:numCache>
                <c:formatCode>General</c:formatCode>
                <c:ptCount val="8"/>
                <c:pt idx="0">
                  <c:v>237100000000</c:v>
                </c:pt>
                <c:pt idx="1">
                  <c:v>205898000000</c:v>
                </c:pt>
                <c:pt idx="2">
                  <c:v>191830000000</c:v>
                </c:pt>
                <c:pt idx="3">
                  <c:v>190516000000</c:v>
                </c:pt>
                <c:pt idx="4">
                  <c:v>169109000000</c:v>
                </c:pt>
                <c:pt idx="5">
                  <c:v>162099000000</c:v>
                </c:pt>
                <c:pt idx="6">
                  <c:v>156650000000</c:v>
                </c:pt>
                <c:pt idx="7">
                  <c:v>132420000000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7-CE4B-9738-9431AB360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683056"/>
        <c:axId val="275386992"/>
      </c:lineChart>
      <c:dateAx>
        <c:axId val="2756830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86992"/>
        <c:crosses val="autoZero"/>
        <c:auto val="1"/>
        <c:lblOffset val="100"/>
        <c:baseTimeUnit val="months"/>
      </c:dateAx>
      <c:valAx>
        <c:axId val="27538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8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13" Type="http://schemas.openxmlformats.org/officeDocument/2006/relationships/chart" Target="../charts/chart48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12" Type="http://schemas.openxmlformats.org/officeDocument/2006/relationships/chart" Target="../charts/chart47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11" Type="http://schemas.openxmlformats.org/officeDocument/2006/relationships/chart" Target="../charts/chart46.xml"/><Relationship Id="rId5" Type="http://schemas.openxmlformats.org/officeDocument/2006/relationships/chart" Target="../charts/chart40.xml"/><Relationship Id="rId10" Type="http://schemas.openxmlformats.org/officeDocument/2006/relationships/chart" Target="../charts/chart45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259670</xdr:colOff>
      <xdr:row>1272</xdr:row>
      <xdr:rowOff>91168</xdr:rowOff>
    </xdr:from>
    <xdr:to>
      <xdr:col>19</xdr:col>
      <xdr:colOff>692831</xdr:colOff>
      <xdr:row>1285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52DAD-5F70-33B2-6B66-460DCCC7B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509135</xdr:colOff>
      <xdr:row>1232</xdr:row>
      <xdr:rowOff>23132</xdr:rowOff>
    </xdr:from>
    <xdr:to>
      <xdr:col>19</xdr:col>
      <xdr:colOff>114528</xdr:colOff>
      <xdr:row>1245</xdr:row>
      <xdr:rowOff>112939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D7DCB-9AE4-34CF-3FDD-61BB92E58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58</xdr:row>
      <xdr:rowOff>57150</xdr:rowOff>
    </xdr:from>
    <xdr:to>
      <xdr:col>6</xdr:col>
      <xdr:colOff>25400</xdr:colOff>
      <xdr:row>71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55920-E992-D68E-98E0-EA13ED4FA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111570</xdr:colOff>
      <xdr:row>0</xdr:row>
      <xdr:rowOff>34895</xdr:rowOff>
    </xdr:from>
    <xdr:to>
      <xdr:col>17</xdr:col>
      <xdr:colOff>529365</xdr:colOff>
      <xdr:row>13</xdr:row>
      <xdr:rowOff>155011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FFA6B-3EF2-9304-EE4C-37DBEC729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99701</xdr:colOff>
      <xdr:row>28</xdr:row>
      <xdr:rowOff>82371</xdr:rowOff>
    </xdr:from>
    <xdr:to>
      <xdr:col>17</xdr:col>
      <xdr:colOff>517496</xdr:colOff>
      <xdr:row>42</xdr:row>
      <xdr:rowOff>712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87F198-F11A-54D1-56D0-54662586C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111570</xdr:colOff>
      <xdr:row>14</xdr:row>
      <xdr:rowOff>70501</xdr:rowOff>
    </xdr:from>
    <xdr:to>
      <xdr:col>17</xdr:col>
      <xdr:colOff>529365</xdr:colOff>
      <xdr:row>27</xdr:row>
      <xdr:rowOff>190617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B99895-1FAF-E82C-20A6-7401A5428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69850</xdr:colOff>
      <xdr:row>43</xdr:row>
      <xdr:rowOff>158750</xdr:rowOff>
    </xdr:from>
    <xdr:to>
      <xdr:col>17</xdr:col>
      <xdr:colOff>514350</xdr:colOff>
      <xdr:row>57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A5EB6D-1BA1-B961-643D-86C46E446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698500</xdr:colOff>
      <xdr:row>59</xdr:row>
      <xdr:rowOff>57150</xdr:rowOff>
    </xdr:from>
    <xdr:to>
      <xdr:col>17</xdr:col>
      <xdr:colOff>317500</xdr:colOff>
      <xdr:row>72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E85149-227F-27E9-89D6-1C6699E80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342900</xdr:colOff>
      <xdr:row>58</xdr:row>
      <xdr:rowOff>133350</xdr:rowOff>
    </xdr:from>
    <xdr:to>
      <xdr:col>11</xdr:col>
      <xdr:colOff>381000</xdr:colOff>
      <xdr:row>72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D1A041-DCAF-308D-7083-98A04F4E7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1244600</xdr:colOff>
      <xdr:row>57</xdr:row>
      <xdr:rowOff>184150</xdr:rowOff>
    </xdr:from>
    <xdr:to>
      <xdr:col>0</xdr:col>
      <xdr:colOff>5816600</xdr:colOff>
      <xdr:row>71</xdr:row>
      <xdr:rowOff>82550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FA22DA-56BC-B679-675A-3B549F71B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311150</xdr:colOff>
      <xdr:row>74</xdr:row>
      <xdr:rowOff>133350</xdr:rowOff>
    </xdr:from>
    <xdr:to>
      <xdr:col>6</xdr:col>
      <xdr:colOff>133350</xdr:colOff>
      <xdr:row>88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EA9AB9-12B9-6DDF-91D2-5D08109A1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397387</xdr:colOff>
      <xdr:row>74</xdr:row>
      <xdr:rowOff>195416</xdr:rowOff>
    </xdr:from>
    <xdr:to>
      <xdr:col>11</xdr:col>
      <xdr:colOff>462935</xdr:colOff>
      <xdr:row>88</xdr:row>
      <xdr:rowOff>70875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CC3F5E-5356-F1AA-66BC-666644A54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356721</xdr:colOff>
      <xdr:row>90</xdr:row>
      <xdr:rowOff>29136</xdr:rowOff>
    </xdr:from>
    <xdr:to>
      <xdr:col>11</xdr:col>
      <xdr:colOff>371662</xdr:colOff>
      <xdr:row>103</xdr:row>
      <xdr:rowOff>101601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123B2CD-CE0F-44A9-C805-E2B166B0E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440266</xdr:colOff>
      <xdr:row>105</xdr:row>
      <xdr:rowOff>169334</xdr:rowOff>
    </xdr:from>
    <xdr:to>
      <xdr:col>11</xdr:col>
      <xdr:colOff>457200</xdr:colOff>
      <xdr:row>119</xdr:row>
      <xdr:rowOff>67734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E161212-252F-3739-3FFF-FD1E39202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838200</xdr:colOff>
      <xdr:row>76</xdr:row>
      <xdr:rowOff>135467</xdr:rowOff>
    </xdr:from>
    <xdr:to>
      <xdr:col>0</xdr:col>
      <xdr:colOff>5410200</xdr:colOff>
      <xdr:row>90</xdr:row>
      <xdr:rowOff>33867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7EFEC0-1099-FE4C-F30E-73F45E7E4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719667</xdr:colOff>
      <xdr:row>14</xdr:row>
      <xdr:rowOff>1</xdr:rowOff>
    </xdr:from>
    <xdr:to>
      <xdr:col>23</xdr:col>
      <xdr:colOff>313267</xdr:colOff>
      <xdr:row>27</xdr:row>
      <xdr:rowOff>101601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4D09E17-3D67-A8DC-4179-304B743D7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804333</xdr:colOff>
      <xdr:row>75</xdr:row>
      <xdr:rowOff>50800</xdr:rowOff>
    </xdr:from>
    <xdr:to>
      <xdr:col>17</xdr:col>
      <xdr:colOff>397933</xdr:colOff>
      <xdr:row>88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4BCD38B-F240-66F1-11A3-80AC9EB2A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829733</xdr:colOff>
      <xdr:row>90</xdr:row>
      <xdr:rowOff>127000</xdr:rowOff>
    </xdr:from>
    <xdr:to>
      <xdr:col>17</xdr:col>
      <xdr:colOff>423333</xdr:colOff>
      <xdr:row>104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9A967B3-EC9A-C2BD-C1F8-4FA36110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622300</xdr:colOff>
      <xdr:row>35</xdr:row>
      <xdr:rowOff>95250</xdr:rowOff>
    </xdr:from>
    <xdr:to>
      <xdr:col>17</xdr:col>
      <xdr:colOff>12700</xdr:colOff>
      <xdr:row>48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1AA5E8-549E-9D49-9D77-2C9A44AF7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774700</xdr:colOff>
      <xdr:row>5</xdr:row>
      <xdr:rowOff>158750</xdr:rowOff>
    </xdr:from>
    <xdr:to>
      <xdr:col>20</xdr:col>
      <xdr:colOff>393700</xdr:colOff>
      <xdr:row>19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18B648-CF54-F07B-47D2-AA53E1F9B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69850</xdr:colOff>
      <xdr:row>35</xdr:row>
      <xdr:rowOff>107950</xdr:rowOff>
    </xdr:from>
    <xdr:to>
      <xdr:col>25</xdr:col>
      <xdr:colOff>514350</xdr:colOff>
      <xdr:row>49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530C90-9250-3348-BF0C-9E2FD1B03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158751</xdr:colOff>
      <xdr:row>35</xdr:row>
      <xdr:rowOff>-1</xdr:rowOff>
    </xdr:from>
    <xdr:to>
      <xdr:col>8</xdr:col>
      <xdr:colOff>707870</xdr:colOff>
      <xdr:row>57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2DB9B-F88F-5D40-9AFD-DFA9C68AD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69580</xdr:colOff>
      <xdr:row>34</xdr:row>
      <xdr:rowOff>139700</xdr:rowOff>
    </xdr:from>
    <xdr:to>
      <xdr:col>17</xdr:col>
      <xdr:colOff>1041400</xdr:colOff>
      <xdr:row>56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7A2BE6-3C4E-5841-A9A2-6B98ED52E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336550</xdr:colOff>
      <xdr:row>30</xdr:row>
      <xdr:rowOff>114300</xdr:rowOff>
    </xdr:from>
    <xdr:to>
      <xdr:col>26</xdr:col>
      <xdr:colOff>723900</xdr:colOff>
      <xdr:row>50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4EE4D8-20B3-954F-B281-65248CBAE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184728</xdr:colOff>
      <xdr:row>30</xdr:row>
      <xdr:rowOff>71582</xdr:rowOff>
    </xdr:from>
    <xdr:to>
      <xdr:col>46</xdr:col>
      <xdr:colOff>115455</xdr:colOff>
      <xdr:row>49</xdr:row>
      <xdr:rowOff>80817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5D91D9-9689-9341-9BB9-BA5DF0FFD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246257</xdr:colOff>
      <xdr:row>74</xdr:row>
      <xdr:rowOff>169437</xdr:rowOff>
    </xdr:from>
    <xdr:to>
      <xdr:col>25</xdr:col>
      <xdr:colOff>698501</xdr:colOff>
      <xdr:row>88</xdr:row>
      <xdr:rowOff>93856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3565BE-69FF-E5AD-A7B2-A27ABBA67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365276</xdr:colOff>
      <xdr:row>121</xdr:row>
      <xdr:rowOff>45207</xdr:rowOff>
    </xdr:from>
    <xdr:to>
      <xdr:col>24</xdr:col>
      <xdr:colOff>646341</xdr:colOff>
      <xdr:row>138</xdr:row>
      <xdr:rowOff>68035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A0D088-F1EF-F56D-7582-CDBA3AFAF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374045</xdr:colOff>
      <xdr:row>120</xdr:row>
      <xdr:rowOff>198210</xdr:rowOff>
    </xdr:from>
    <xdr:to>
      <xdr:col>34</xdr:col>
      <xdr:colOff>643013</xdr:colOff>
      <xdr:row>134</xdr:row>
      <xdr:rowOff>95703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B88D28-A89F-09C5-4DF4-BD6CD670E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311207</xdr:colOff>
      <xdr:row>109</xdr:row>
      <xdr:rowOff>167274</xdr:rowOff>
    </xdr:from>
    <xdr:to>
      <xdr:col>16</xdr:col>
      <xdr:colOff>249423</xdr:colOff>
      <xdr:row>123</xdr:row>
      <xdr:rowOff>27231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687D45-9609-12AC-7232-2C8F54C29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804333</xdr:colOff>
      <xdr:row>12</xdr:row>
      <xdr:rowOff>135466</xdr:rowOff>
    </xdr:from>
    <xdr:to>
      <xdr:col>31</xdr:col>
      <xdr:colOff>931333</xdr:colOff>
      <xdr:row>26</xdr:row>
      <xdr:rowOff>33866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A0A002-06DE-49CE-E73F-C149380D1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112890</xdr:colOff>
      <xdr:row>61</xdr:row>
      <xdr:rowOff>97239</xdr:rowOff>
    </xdr:from>
    <xdr:to>
      <xdr:col>11</xdr:col>
      <xdr:colOff>551617</xdr:colOff>
      <xdr:row>78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0E59B5-35FE-402C-5C41-25CC897E1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1267434</xdr:colOff>
      <xdr:row>148</xdr:row>
      <xdr:rowOff>174208</xdr:rowOff>
    </xdr:from>
    <xdr:to>
      <xdr:col>29</xdr:col>
      <xdr:colOff>105192</xdr:colOff>
      <xdr:row>162</xdr:row>
      <xdr:rowOff>43873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F477502-4722-7F10-4B64-AF560B741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749148</xdr:colOff>
      <xdr:row>55</xdr:row>
      <xdr:rowOff>34472</xdr:rowOff>
    </xdr:from>
    <xdr:to>
      <xdr:col>45</xdr:col>
      <xdr:colOff>286506</xdr:colOff>
      <xdr:row>68</xdr:row>
      <xdr:rowOff>124279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DBA4BBF-AED1-FA63-0186-A65AC8D40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517408</xdr:colOff>
      <xdr:row>72</xdr:row>
      <xdr:rowOff>15993</xdr:rowOff>
    </xdr:from>
    <xdr:to>
      <xdr:col>45</xdr:col>
      <xdr:colOff>37630</xdr:colOff>
      <xdr:row>85</xdr:row>
      <xdr:rowOff>68674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01881DB-F5C7-15E2-1A02-C64C385F1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336550</xdr:colOff>
      <xdr:row>14</xdr:row>
      <xdr:rowOff>69850</xdr:rowOff>
    </xdr:from>
    <xdr:to>
      <xdr:col>19</xdr:col>
      <xdr:colOff>781050</xdr:colOff>
      <xdr:row>27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3323C8-A887-BF0E-84C3-1C92F1C85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622300</xdr:colOff>
      <xdr:row>43</xdr:row>
      <xdr:rowOff>95250</xdr:rowOff>
    </xdr:from>
    <xdr:to>
      <xdr:col>29</xdr:col>
      <xdr:colOff>12700</xdr:colOff>
      <xdr:row>56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145B9-D679-A02D-4931-1BB0D016D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292100</xdr:colOff>
      <xdr:row>86</xdr:row>
      <xdr:rowOff>44450</xdr:rowOff>
    </xdr:from>
    <xdr:to>
      <xdr:col>4</xdr:col>
      <xdr:colOff>685800</xdr:colOff>
      <xdr:row>99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0C3FC4-463E-6176-9D8C-990869FC6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774700</xdr:colOff>
      <xdr:row>91</xdr:row>
      <xdr:rowOff>82550</xdr:rowOff>
    </xdr:from>
    <xdr:to>
      <xdr:col>10</xdr:col>
      <xdr:colOff>2946400</xdr:colOff>
      <xdr:row>104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91DEC7-6D56-0A97-1518-5CCC5AF30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514350</xdr:colOff>
      <xdr:row>106</xdr:row>
      <xdr:rowOff>31750</xdr:rowOff>
    </xdr:from>
    <xdr:to>
      <xdr:col>9</xdr:col>
      <xdr:colOff>95250</xdr:colOff>
      <xdr:row>119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E362BA-1922-CEAB-9D35-EB3F1CCD1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273050</xdr:colOff>
      <xdr:row>19</xdr:row>
      <xdr:rowOff>31750</xdr:rowOff>
    </xdr:from>
    <xdr:to>
      <xdr:col>33</xdr:col>
      <xdr:colOff>717550</xdr:colOff>
      <xdr:row>32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0933C8-ED47-C534-771C-4169D9AED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209550</xdr:colOff>
      <xdr:row>20</xdr:row>
      <xdr:rowOff>19050</xdr:rowOff>
    </xdr:from>
    <xdr:to>
      <xdr:col>7</xdr:col>
      <xdr:colOff>717550</xdr:colOff>
      <xdr:row>33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53BC7D-2A19-E48A-2144-E406D989A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488950</xdr:colOff>
      <xdr:row>10</xdr:row>
      <xdr:rowOff>171450</xdr:rowOff>
    </xdr:from>
    <xdr:to>
      <xdr:col>2</xdr:col>
      <xdr:colOff>558800</xdr:colOff>
      <xdr:row>23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240008-FE74-FF0F-3597-091E1FD41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450850</xdr:colOff>
      <xdr:row>42</xdr:row>
      <xdr:rowOff>95250</xdr:rowOff>
    </xdr:from>
    <xdr:to>
      <xdr:col>7</xdr:col>
      <xdr:colOff>584200</xdr:colOff>
      <xdr:row>52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C4AC84-B6A0-A6AB-4765-F9846A945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25400</xdr:colOff>
      <xdr:row>42</xdr:row>
      <xdr:rowOff>101600</xdr:rowOff>
    </xdr:from>
    <xdr:to>
      <xdr:col>15</xdr:col>
      <xdr:colOff>787400</xdr:colOff>
      <xdr:row>52</xdr:row>
      <xdr:rowOff>158750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22DCAC-1D54-7912-FFA0-19C73FB1B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76200</xdr:colOff>
      <xdr:row>74</xdr:row>
      <xdr:rowOff>69850</xdr:rowOff>
    </xdr:from>
    <xdr:to>
      <xdr:col>17</xdr:col>
      <xdr:colOff>641350</xdr:colOff>
      <xdr:row>87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CED38CC-BC09-46DD-0B45-CD0BE2CAF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844550</xdr:colOff>
      <xdr:row>19</xdr:row>
      <xdr:rowOff>44450</xdr:rowOff>
    </xdr:from>
    <xdr:to>
      <xdr:col>23</xdr:col>
      <xdr:colOff>349250</xdr:colOff>
      <xdr:row>32</xdr:row>
      <xdr:rowOff>146050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151F66-997A-31E5-51D5-18804BDCC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1962150</xdr:colOff>
      <xdr:row>118</xdr:row>
      <xdr:rowOff>95250</xdr:rowOff>
    </xdr:from>
    <xdr:to>
      <xdr:col>12</xdr:col>
      <xdr:colOff>184150</xdr:colOff>
      <xdr:row>131</xdr:row>
      <xdr:rowOff>196850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F153BE0-F903-8781-1D04-CA561CB4B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260350</xdr:colOff>
      <xdr:row>56</xdr:row>
      <xdr:rowOff>19050</xdr:rowOff>
    </xdr:from>
    <xdr:to>
      <xdr:col>35</xdr:col>
      <xdr:colOff>704850</xdr:colOff>
      <xdr:row>69</xdr:row>
      <xdr:rowOff>120650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163B97-C109-BE8B-0178-415003548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5"/>
  <sheetViews>
    <sheetView topLeftCell="A617" zoomScale="41" workbookViewId="0">
      <selection activeCell="I852" sqref="I852"/>
    </sheetView>
  </sheetViews>
  <sheetFormatPr baseColWidth="10" defaultRowHeight="16" x14ac:dyDescent="0.2"/>
  <cols>
    <col min="3" max="3" width="39.5" bestFit="1" customWidth="1"/>
    <col min="4" max="4" width="42.1640625" customWidth="1"/>
    <col min="6" max="6" width="10.33203125" customWidth="1"/>
    <col min="7" max="7" width="11" bestFit="1" customWidth="1"/>
    <col min="12" max="12" width="11" bestFit="1" customWidth="1"/>
    <col min="13" max="13" width="12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320193</v>
      </c>
      <c r="B2" t="s">
        <v>9</v>
      </c>
      <c r="C2" t="s">
        <v>49</v>
      </c>
      <c r="D2" t="s">
        <v>50</v>
      </c>
      <c r="E2" t="s">
        <v>12</v>
      </c>
      <c r="F2">
        <v>55888000000</v>
      </c>
      <c r="G2" s="1">
        <v>43373</v>
      </c>
      <c r="H2" t="s">
        <v>13</v>
      </c>
      <c r="I2" t="s">
        <v>14</v>
      </c>
    </row>
    <row r="3" spans="1:9" x14ac:dyDescent="0.2">
      <c r="A3">
        <v>320193</v>
      </c>
      <c r="B3" t="s">
        <v>9</v>
      </c>
      <c r="C3" t="s">
        <v>49</v>
      </c>
      <c r="D3" t="s">
        <v>50</v>
      </c>
      <c r="E3" t="s">
        <v>12</v>
      </c>
      <c r="F3">
        <v>46236000000</v>
      </c>
      <c r="G3" s="1">
        <v>43737</v>
      </c>
      <c r="H3" t="s">
        <v>13</v>
      </c>
      <c r="I3" t="s">
        <v>14</v>
      </c>
    </row>
    <row r="4" spans="1:9" x14ac:dyDescent="0.2">
      <c r="A4">
        <v>320193</v>
      </c>
      <c r="B4" t="s">
        <v>100</v>
      </c>
      <c r="C4" t="s">
        <v>49</v>
      </c>
      <c r="D4" t="s">
        <v>50</v>
      </c>
      <c r="E4" t="s">
        <v>12</v>
      </c>
      <c r="F4">
        <v>46236000000</v>
      </c>
      <c r="G4" s="1">
        <v>43737</v>
      </c>
      <c r="H4" t="s">
        <v>13</v>
      </c>
      <c r="I4" t="s">
        <v>14</v>
      </c>
    </row>
    <row r="5" spans="1:9" x14ac:dyDescent="0.2">
      <c r="A5">
        <v>320193</v>
      </c>
      <c r="B5" t="s">
        <v>99</v>
      </c>
      <c r="C5" t="s">
        <v>49</v>
      </c>
      <c r="D5" t="s">
        <v>50</v>
      </c>
      <c r="E5" t="s">
        <v>12</v>
      </c>
      <c r="F5">
        <v>42296000000</v>
      </c>
      <c r="G5" s="1">
        <v>44101</v>
      </c>
      <c r="H5" t="s">
        <v>13</v>
      </c>
      <c r="I5" t="s">
        <v>14</v>
      </c>
    </row>
    <row r="6" spans="1:9" x14ac:dyDescent="0.2">
      <c r="A6">
        <v>320193</v>
      </c>
      <c r="B6" t="s">
        <v>100</v>
      </c>
      <c r="C6" t="s">
        <v>49</v>
      </c>
      <c r="D6" t="s">
        <v>50</v>
      </c>
      <c r="E6" t="s">
        <v>12</v>
      </c>
      <c r="F6">
        <v>42296000000</v>
      </c>
      <c r="G6" s="1">
        <v>44101</v>
      </c>
      <c r="H6" t="s">
        <v>13</v>
      </c>
      <c r="I6" t="s">
        <v>14</v>
      </c>
    </row>
    <row r="7" spans="1:9" x14ac:dyDescent="0.2">
      <c r="A7">
        <v>320193</v>
      </c>
      <c r="B7" t="s">
        <v>97</v>
      </c>
      <c r="C7" t="s">
        <v>49</v>
      </c>
      <c r="D7" t="s">
        <v>50</v>
      </c>
      <c r="E7" t="s">
        <v>12</v>
      </c>
      <c r="F7">
        <v>54763000000</v>
      </c>
      <c r="G7" s="1">
        <v>44465</v>
      </c>
      <c r="H7" t="s">
        <v>13</v>
      </c>
      <c r="I7" t="s">
        <v>14</v>
      </c>
    </row>
    <row r="8" spans="1:9" x14ac:dyDescent="0.2">
      <c r="A8">
        <v>320193</v>
      </c>
      <c r="B8" t="s">
        <v>99</v>
      </c>
      <c r="C8" t="s">
        <v>49</v>
      </c>
      <c r="D8" t="s">
        <v>50</v>
      </c>
      <c r="E8" t="s">
        <v>12</v>
      </c>
      <c r="F8">
        <v>54763000000</v>
      </c>
      <c r="G8" s="1">
        <v>44465</v>
      </c>
      <c r="H8" t="s">
        <v>13</v>
      </c>
      <c r="I8" t="s">
        <v>14</v>
      </c>
    </row>
    <row r="9" spans="1:9" x14ac:dyDescent="0.2">
      <c r="A9">
        <v>320193</v>
      </c>
      <c r="B9" t="s">
        <v>97</v>
      </c>
      <c r="C9" t="s">
        <v>49</v>
      </c>
      <c r="D9" t="s">
        <v>50</v>
      </c>
      <c r="E9" t="s">
        <v>12</v>
      </c>
      <c r="F9">
        <v>64115000000</v>
      </c>
      <c r="G9" s="1">
        <v>44829</v>
      </c>
      <c r="H9" t="s">
        <v>13</v>
      </c>
      <c r="I9" t="s">
        <v>14</v>
      </c>
    </row>
    <row r="10" spans="1:9" x14ac:dyDescent="0.2">
      <c r="A10">
        <v>320193</v>
      </c>
      <c r="B10" t="s">
        <v>101</v>
      </c>
      <c r="C10" t="s">
        <v>49</v>
      </c>
      <c r="D10" t="s">
        <v>50</v>
      </c>
      <c r="E10" t="s">
        <v>12</v>
      </c>
      <c r="F10">
        <v>64115000000</v>
      </c>
      <c r="G10" s="1">
        <v>44829</v>
      </c>
      <c r="H10" t="s">
        <v>13</v>
      </c>
      <c r="I10" t="s">
        <v>14</v>
      </c>
    </row>
    <row r="11" spans="1:9" x14ac:dyDescent="0.2">
      <c r="A11">
        <v>320193</v>
      </c>
      <c r="B11" t="s">
        <v>98</v>
      </c>
      <c r="C11" t="s">
        <v>49</v>
      </c>
      <c r="D11" t="s">
        <v>50</v>
      </c>
      <c r="E11" t="s">
        <v>12</v>
      </c>
      <c r="F11">
        <v>62611000000</v>
      </c>
      <c r="G11" s="1">
        <v>45200</v>
      </c>
      <c r="H11" t="s">
        <v>13</v>
      </c>
      <c r="I11" t="s">
        <v>14</v>
      </c>
    </row>
    <row r="12" spans="1:9" x14ac:dyDescent="0.2">
      <c r="A12">
        <v>320193</v>
      </c>
      <c r="B12" t="s">
        <v>101</v>
      </c>
      <c r="C12" t="s">
        <v>49</v>
      </c>
      <c r="D12" t="s">
        <v>50</v>
      </c>
      <c r="E12" t="s">
        <v>12</v>
      </c>
      <c r="F12">
        <v>62611000000</v>
      </c>
      <c r="G12" s="1">
        <v>45200</v>
      </c>
      <c r="H12" t="s">
        <v>13</v>
      </c>
      <c r="I12" t="s">
        <v>14</v>
      </c>
    </row>
    <row r="13" spans="1:9" x14ac:dyDescent="0.2">
      <c r="A13">
        <v>320193</v>
      </c>
      <c r="B13" t="s">
        <v>88</v>
      </c>
      <c r="C13" t="s">
        <v>49</v>
      </c>
      <c r="D13" t="s">
        <v>50</v>
      </c>
      <c r="E13" t="s">
        <v>12</v>
      </c>
      <c r="F13">
        <v>68960000000</v>
      </c>
      <c r="G13" s="1">
        <v>45564</v>
      </c>
      <c r="H13" t="s">
        <v>13</v>
      </c>
      <c r="I13" t="s">
        <v>14</v>
      </c>
    </row>
    <row r="14" spans="1:9" x14ac:dyDescent="0.2">
      <c r="A14">
        <v>320193</v>
      </c>
      <c r="B14" t="s">
        <v>98</v>
      </c>
      <c r="C14" t="s">
        <v>49</v>
      </c>
      <c r="D14" t="s">
        <v>50</v>
      </c>
      <c r="E14" t="s">
        <v>12</v>
      </c>
      <c r="F14">
        <v>68960000000</v>
      </c>
      <c r="G14" s="1">
        <v>45564</v>
      </c>
      <c r="H14" t="s">
        <v>13</v>
      </c>
      <c r="I14" t="s">
        <v>14</v>
      </c>
    </row>
    <row r="15" spans="1:9" x14ac:dyDescent="0.2">
      <c r="A15">
        <v>320193</v>
      </c>
      <c r="B15" t="s">
        <v>88</v>
      </c>
      <c r="C15" t="s">
        <v>49</v>
      </c>
      <c r="D15" t="s">
        <v>50</v>
      </c>
      <c r="E15" t="s">
        <v>12</v>
      </c>
      <c r="F15">
        <v>69860000000</v>
      </c>
      <c r="G15" s="1">
        <v>45928</v>
      </c>
      <c r="H15" t="s">
        <v>13</v>
      </c>
      <c r="I15" t="s">
        <v>14</v>
      </c>
    </row>
    <row r="16" spans="1:9" x14ac:dyDescent="0.2">
      <c r="A16">
        <v>320193</v>
      </c>
      <c r="B16" t="s">
        <v>9</v>
      </c>
      <c r="C16" t="s">
        <v>41</v>
      </c>
      <c r="D16" t="s">
        <v>42</v>
      </c>
      <c r="E16" t="s">
        <v>12</v>
      </c>
      <c r="F16">
        <v>23186000000</v>
      </c>
      <c r="G16" s="1">
        <v>43373</v>
      </c>
      <c r="H16" t="s">
        <v>13</v>
      </c>
      <c r="I16" t="s">
        <v>14</v>
      </c>
    </row>
    <row r="17" spans="1:9" x14ac:dyDescent="0.2">
      <c r="A17">
        <v>320193</v>
      </c>
      <c r="B17" t="s">
        <v>9</v>
      </c>
      <c r="C17" t="s">
        <v>41</v>
      </c>
      <c r="D17" t="s">
        <v>42</v>
      </c>
      <c r="E17" t="s">
        <v>12</v>
      </c>
      <c r="F17">
        <v>22926000000</v>
      </c>
      <c r="G17" s="1">
        <v>43737</v>
      </c>
      <c r="H17" t="s">
        <v>13</v>
      </c>
      <c r="I17" t="s">
        <v>14</v>
      </c>
    </row>
    <row r="18" spans="1:9" x14ac:dyDescent="0.2">
      <c r="A18">
        <v>320193</v>
      </c>
      <c r="B18" t="s">
        <v>100</v>
      </c>
      <c r="C18" t="s">
        <v>41</v>
      </c>
      <c r="D18" t="s">
        <v>42</v>
      </c>
      <c r="E18" t="s">
        <v>12</v>
      </c>
      <c r="F18">
        <v>22926000000</v>
      </c>
      <c r="G18" s="1">
        <v>43737</v>
      </c>
      <c r="H18" t="s">
        <v>13</v>
      </c>
      <c r="I18" t="s">
        <v>14</v>
      </c>
    </row>
    <row r="19" spans="1:9" x14ac:dyDescent="0.2">
      <c r="A19">
        <v>320193</v>
      </c>
      <c r="B19" t="s">
        <v>99</v>
      </c>
      <c r="C19" t="s">
        <v>41</v>
      </c>
      <c r="D19" t="s">
        <v>42</v>
      </c>
      <c r="E19" t="s">
        <v>12</v>
      </c>
      <c r="F19">
        <v>16120000000</v>
      </c>
      <c r="G19" s="1">
        <v>44101</v>
      </c>
      <c r="H19" t="s">
        <v>13</v>
      </c>
      <c r="I19" t="s">
        <v>14</v>
      </c>
    </row>
    <row r="20" spans="1:9" x14ac:dyDescent="0.2">
      <c r="A20">
        <v>320193</v>
      </c>
      <c r="B20" t="s">
        <v>100</v>
      </c>
      <c r="C20" t="s">
        <v>41</v>
      </c>
      <c r="D20" t="s">
        <v>42</v>
      </c>
      <c r="E20" t="s">
        <v>12</v>
      </c>
      <c r="F20">
        <v>16120000000</v>
      </c>
      <c r="G20" s="1">
        <v>44101</v>
      </c>
      <c r="H20" t="s">
        <v>13</v>
      </c>
      <c r="I20" t="s">
        <v>14</v>
      </c>
    </row>
    <row r="21" spans="1:9" x14ac:dyDescent="0.2">
      <c r="A21">
        <v>320193</v>
      </c>
      <c r="B21" t="s">
        <v>97</v>
      </c>
      <c r="C21" t="s">
        <v>41</v>
      </c>
      <c r="D21" t="s">
        <v>42</v>
      </c>
      <c r="E21" t="s">
        <v>12</v>
      </c>
      <c r="F21">
        <v>26278000000</v>
      </c>
      <c r="G21" s="1">
        <v>44465</v>
      </c>
      <c r="H21" t="s">
        <v>13</v>
      </c>
      <c r="I21" t="s">
        <v>14</v>
      </c>
    </row>
    <row r="22" spans="1:9" x14ac:dyDescent="0.2">
      <c r="A22">
        <v>320193</v>
      </c>
      <c r="B22" t="s">
        <v>99</v>
      </c>
      <c r="C22" t="s">
        <v>41</v>
      </c>
      <c r="D22" t="s">
        <v>42</v>
      </c>
      <c r="E22" t="s">
        <v>12</v>
      </c>
      <c r="F22">
        <v>26278000000</v>
      </c>
      <c r="G22" s="1">
        <v>44465</v>
      </c>
      <c r="H22" t="s">
        <v>13</v>
      </c>
      <c r="I22" t="s">
        <v>14</v>
      </c>
    </row>
    <row r="23" spans="1:9" x14ac:dyDescent="0.2">
      <c r="A23">
        <v>320193</v>
      </c>
      <c r="B23" t="s">
        <v>97</v>
      </c>
      <c r="C23" t="s">
        <v>41</v>
      </c>
      <c r="D23" t="s">
        <v>42</v>
      </c>
      <c r="E23" t="s">
        <v>12</v>
      </c>
      <c r="F23">
        <v>28184000000</v>
      </c>
      <c r="G23" s="1">
        <v>44829</v>
      </c>
      <c r="H23" t="s">
        <v>13</v>
      </c>
      <c r="I23" t="s">
        <v>14</v>
      </c>
    </row>
    <row r="24" spans="1:9" x14ac:dyDescent="0.2">
      <c r="A24">
        <v>320193</v>
      </c>
      <c r="B24" t="s">
        <v>101</v>
      </c>
      <c r="C24" t="s">
        <v>41</v>
      </c>
      <c r="D24" t="s">
        <v>42</v>
      </c>
      <c r="E24" t="s">
        <v>12</v>
      </c>
      <c r="F24">
        <v>28184000000</v>
      </c>
      <c r="G24" s="1">
        <v>44829</v>
      </c>
      <c r="H24" t="s">
        <v>13</v>
      </c>
      <c r="I24" t="s">
        <v>14</v>
      </c>
    </row>
    <row r="25" spans="1:9" x14ac:dyDescent="0.2">
      <c r="A25">
        <v>320193</v>
      </c>
      <c r="B25" t="s">
        <v>98</v>
      </c>
      <c r="C25" t="s">
        <v>41</v>
      </c>
      <c r="D25" t="s">
        <v>42</v>
      </c>
      <c r="E25" t="s">
        <v>12</v>
      </c>
      <c r="F25">
        <v>29508000000</v>
      </c>
      <c r="G25" s="1">
        <v>45200</v>
      </c>
      <c r="H25" t="s">
        <v>13</v>
      </c>
      <c r="I25" t="s">
        <v>14</v>
      </c>
    </row>
    <row r="26" spans="1:9" x14ac:dyDescent="0.2">
      <c r="A26">
        <v>320193</v>
      </c>
      <c r="B26" t="s">
        <v>101</v>
      </c>
      <c r="C26" t="s">
        <v>41</v>
      </c>
      <c r="D26" t="s">
        <v>42</v>
      </c>
      <c r="E26" t="s">
        <v>12</v>
      </c>
      <c r="F26">
        <v>29508000000</v>
      </c>
      <c r="G26" s="1">
        <v>45200</v>
      </c>
      <c r="H26" t="s">
        <v>13</v>
      </c>
      <c r="I26" t="s">
        <v>14</v>
      </c>
    </row>
    <row r="27" spans="1:9" x14ac:dyDescent="0.2">
      <c r="A27">
        <v>320193</v>
      </c>
      <c r="B27" t="s">
        <v>88</v>
      </c>
      <c r="C27" t="s">
        <v>41</v>
      </c>
      <c r="D27" t="s">
        <v>42</v>
      </c>
      <c r="E27" t="s">
        <v>12</v>
      </c>
      <c r="F27">
        <v>33410000000</v>
      </c>
      <c r="G27" s="1">
        <v>45564</v>
      </c>
      <c r="H27" t="s">
        <v>13</v>
      </c>
      <c r="I27" t="s">
        <v>14</v>
      </c>
    </row>
    <row r="28" spans="1:9" x14ac:dyDescent="0.2">
      <c r="A28">
        <v>320193</v>
      </c>
      <c r="B28" t="s">
        <v>98</v>
      </c>
      <c r="C28" t="s">
        <v>41</v>
      </c>
      <c r="D28" t="s">
        <v>42</v>
      </c>
      <c r="E28" t="s">
        <v>12</v>
      </c>
      <c r="F28">
        <v>33410000000</v>
      </c>
      <c r="G28" s="1">
        <v>45564</v>
      </c>
      <c r="H28" t="s">
        <v>13</v>
      </c>
      <c r="I28" t="s">
        <v>14</v>
      </c>
    </row>
    <row r="29" spans="1:9" x14ac:dyDescent="0.2">
      <c r="A29">
        <v>320193</v>
      </c>
      <c r="B29" t="s">
        <v>88</v>
      </c>
      <c r="C29" t="s">
        <v>41</v>
      </c>
      <c r="D29" t="s">
        <v>42</v>
      </c>
      <c r="E29" t="s">
        <v>12</v>
      </c>
      <c r="F29">
        <v>39777000000</v>
      </c>
      <c r="G29" s="1">
        <v>45928</v>
      </c>
      <c r="H29" t="s">
        <v>13</v>
      </c>
      <c r="I29" t="s">
        <v>14</v>
      </c>
    </row>
    <row r="30" spans="1:9" x14ac:dyDescent="0.2">
      <c r="A30">
        <v>320193</v>
      </c>
      <c r="B30" t="s">
        <v>9</v>
      </c>
      <c r="C30" t="s">
        <v>35</v>
      </c>
      <c r="D30" t="s">
        <v>36</v>
      </c>
      <c r="E30" t="s">
        <v>12</v>
      </c>
      <c r="F30">
        <v>5217242000</v>
      </c>
      <c r="G30" s="1">
        <v>43009</v>
      </c>
      <c r="H30" t="s">
        <v>13</v>
      </c>
      <c r="I30" t="s">
        <v>14</v>
      </c>
    </row>
    <row r="31" spans="1:9" x14ac:dyDescent="0.2">
      <c r="A31">
        <v>320193</v>
      </c>
      <c r="B31" t="s">
        <v>9</v>
      </c>
      <c r="C31" t="s">
        <v>35</v>
      </c>
      <c r="D31" t="s">
        <v>36</v>
      </c>
      <c r="E31" t="s">
        <v>12</v>
      </c>
      <c r="F31">
        <v>5217242000</v>
      </c>
      <c r="G31" s="1">
        <v>43009</v>
      </c>
      <c r="H31" t="s">
        <v>13</v>
      </c>
      <c r="I31" t="s">
        <v>14</v>
      </c>
    </row>
    <row r="32" spans="1:9" x14ac:dyDescent="0.2">
      <c r="A32">
        <v>320193</v>
      </c>
      <c r="B32" t="s">
        <v>9</v>
      </c>
      <c r="C32" t="s">
        <v>35</v>
      </c>
      <c r="D32" t="s">
        <v>36</v>
      </c>
      <c r="E32" t="s">
        <v>12</v>
      </c>
      <c r="F32">
        <v>4955377000</v>
      </c>
      <c r="G32" s="1">
        <v>43373</v>
      </c>
      <c r="H32" t="s">
        <v>13</v>
      </c>
      <c r="I32" t="s">
        <v>14</v>
      </c>
    </row>
    <row r="33" spans="1:9" x14ac:dyDescent="0.2">
      <c r="A33">
        <v>320193</v>
      </c>
      <c r="B33" t="s">
        <v>9</v>
      </c>
      <c r="C33" t="s">
        <v>35</v>
      </c>
      <c r="D33" t="s">
        <v>36</v>
      </c>
      <c r="E33" t="s">
        <v>12</v>
      </c>
      <c r="F33">
        <v>4955377000</v>
      </c>
      <c r="G33" s="1">
        <v>43373</v>
      </c>
      <c r="H33" t="s">
        <v>13</v>
      </c>
      <c r="I33" t="s">
        <v>14</v>
      </c>
    </row>
    <row r="34" spans="1:9" x14ac:dyDescent="0.2">
      <c r="A34">
        <v>320193</v>
      </c>
      <c r="B34" t="s">
        <v>100</v>
      </c>
      <c r="C34" t="s">
        <v>35</v>
      </c>
      <c r="D34" t="s">
        <v>36</v>
      </c>
      <c r="E34" t="s">
        <v>12</v>
      </c>
      <c r="F34">
        <v>19821510000</v>
      </c>
      <c r="G34" s="1">
        <v>43373</v>
      </c>
      <c r="H34" t="s">
        <v>13</v>
      </c>
      <c r="I34" t="s">
        <v>14</v>
      </c>
    </row>
    <row r="35" spans="1:9" x14ac:dyDescent="0.2">
      <c r="A35">
        <v>320193</v>
      </c>
      <c r="B35" t="s">
        <v>100</v>
      </c>
      <c r="C35" t="s">
        <v>35</v>
      </c>
      <c r="D35" t="s">
        <v>36</v>
      </c>
      <c r="E35" t="s">
        <v>12</v>
      </c>
      <c r="F35">
        <v>19821510000</v>
      </c>
      <c r="G35" s="1">
        <v>43373</v>
      </c>
      <c r="H35" t="s">
        <v>13</v>
      </c>
      <c r="I35" t="s">
        <v>14</v>
      </c>
    </row>
    <row r="36" spans="1:9" x14ac:dyDescent="0.2">
      <c r="A36">
        <v>320193</v>
      </c>
      <c r="B36" t="s">
        <v>9</v>
      </c>
      <c r="C36" t="s">
        <v>35</v>
      </c>
      <c r="D36" t="s">
        <v>36</v>
      </c>
      <c r="E36" t="s">
        <v>12</v>
      </c>
      <c r="F36">
        <v>4617834000</v>
      </c>
      <c r="G36" s="1">
        <v>43737</v>
      </c>
      <c r="H36" t="s">
        <v>13</v>
      </c>
      <c r="I36" t="s">
        <v>14</v>
      </c>
    </row>
    <row r="37" spans="1:9" x14ac:dyDescent="0.2">
      <c r="A37">
        <v>320193</v>
      </c>
      <c r="B37" t="s">
        <v>9</v>
      </c>
      <c r="C37" t="s">
        <v>35</v>
      </c>
      <c r="D37" t="s">
        <v>36</v>
      </c>
      <c r="E37" t="s">
        <v>12</v>
      </c>
      <c r="F37">
        <v>4617834000</v>
      </c>
      <c r="G37" s="1">
        <v>43737</v>
      </c>
      <c r="H37" t="s">
        <v>13</v>
      </c>
      <c r="I37" t="s">
        <v>14</v>
      </c>
    </row>
    <row r="38" spans="1:9" x14ac:dyDescent="0.2">
      <c r="A38">
        <v>320193</v>
      </c>
      <c r="B38" t="s">
        <v>99</v>
      </c>
      <c r="C38" t="s">
        <v>35</v>
      </c>
      <c r="D38" t="s">
        <v>36</v>
      </c>
      <c r="E38" t="s">
        <v>12</v>
      </c>
      <c r="F38">
        <v>18471336000</v>
      </c>
      <c r="G38" s="1">
        <v>43737</v>
      </c>
      <c r="H38" t="s">
        <v>13</v>
      </c>
      <c r="I38" t="s">
        <v>14</v>
      </c>
    </row>
    <row r="39" spans="1:9" x14ac:dyDescent="0.2">
      <c r="A39">
        <v>320193</v>
      </c>
      <c r="B39" t="s">
        <v>99</v>
      </c>
      <c r="C39" t="s">
        <v>35</v>
      </c>
      <c r="D39" t="s">
        <v>36</v>
      </c>
      <c r="E39" t="s">
        <v>12</v>
      </c>
      <c r="F39">
        <v>18471336000</v>
      </c>
      <c r="G39" s="1">
        <v>43737</v>
      </c>
      <c r="H39" t="s">
        <v>13</v>
      </c>
      <c r="I39" t="s">
        <v>14</v>
      </c>
    </row>
    <row r="40" spans="1:9" x14ac:dyDescent="0.2">
      <c r="A40">
        <v>320193</v>
      </c>
      <c r="B40" t="s">
        <v>100</v>
      </c>
      <c r="C40" t="s">
        <v>35</v>
      </c>
      <c r="D40" t="s">
        <v>36</v>
      </c>
      <c r="E40" t="s">
        <v>12</v>
      </c>
      <c r="F40">
        <v>18471336000</v>
      </c>
      <c r="G40" s="1">
        <v>43737</v>
      </c>
      <c r="H40" t="s">
        <v>13</v>
      </c>
      <c r="I40" t="s">
        <v>14</v>
      </c>
    </row>
    <row r="41" spans="1:9" x14ac:dyDescent="0.2">
      <c r="A41">
        <v>320193</v>
      </c>
      <c r="B41" t="s">
        <v>100</v>
      </c>
      <c r="C41" t="s">
        <v>35</v>
      </c>
      <c r="D41" t="s">
        <v>36</v>
      </c>
      <c r="E41" t="s">
        <v>12</v>
      </c>
      <c r="F41">
        <v>18471336000</v>
      </c>
      <c r="G41" s="1">
        <v>43737</v>
      </c>
      <c r="H41" t="s">
        <v>13</v>
      </c>
      <c r="I41" t="s">
        <v>14</v>
      </c>
    </row>
    <row r="42" spans="1:9" x14ac:dyDescent="0.2">
      <c r="A42">
        <v>320193</v>
      </c>
      <c r="B42" t="s">
        <v>97</v>
      </c>
      <c r="C42" t="s">
        <v>35</v>
      </c>
      <c r="D42" t="s">
        <v>36</v>
      </c>
      <c r="E42" t="s">
        <v>12</v>
      </c>
      <c r="F42">
        <v>17352119000</v>
      </c>
      <c r="G42" s="1">
        <v>44101</v>
      </c>
      <c r="H42" t="s">
        <v>13</v>
      </c>
      <c r="I42" t="s">
        <v>14</v>
      </c>
    </row>
    <row r="43" spans="1:9" x14ac:dyDescent="0.2">
      <c r="A43">
        <v>320193</v>
      </c>
      <c r="B43" t="s">
        <v>97</v>
      </c>
      <c r="C43" t="s">
        <v>35</v>
      </c>
      <c r="D43" t="s">
        <v>36</v>
      </c>
      <c r="E43" t="s">
        <v>12</v>
      </c>
      <c r="F43">
        <v>17352119000</v>
      </c>
      <c r="G43" s="1">
        <v>44101</v>
      </c>
      <c r="H43" t="s">
        <v>13</v>
      </c>
      <c r="I43" t="s">
        <v>14</v>
      </c>
    </row>
    <row r="44" spans="1:9" x14ac:dyDescent="0.2">
      <c r="A44">
        <v>320193</v>
      </c>
      <c r="B44" t="s">
        <v>99</v>
      </c>
      <c r="C44" t="s">
        <v>35</v>
      </c>
      <c r="D44" t="s">
        <v>36</v>
      </c>
      <c r="E44" t="s">
        <v>12</v>
      </c>
      <c r="F44">
        <v>17352119000</v>
      </c>
      <c r="G44" s="1">
        <v>44101</v>
      </c>
      <c r="H44" t="s">
        <v>13</v>
      </c>
      <c r="I44" t="s">
        <v>14</v>
      </c>
    </row>
    <row r="45" spans="1:9" x14ac:dyDescent="0.2">
      <c r="A45">
        <v>320193</v>
      </c>
      <c r="B45" t="s">
        <v>99</v>
      </c>
      <c r="C45" t="s">
        <v>35</v>
      </c>
      <c r="D45" t="s">
        <v>36</v>
      </c>
      <c r="E45" t="s">
        <v>12</v>
      </c>
      <c r="F45">
        <v>17352119000</v>
      </c>
      <c r="G45" s="1">
        <v>44101</v>
      </c>
      <c r="H45" t="s">
        <v>13</v>
      </c>
      <c r="I45" t="s">
        <v>14</v>
      </c>
    </row>
    <row r="46" spans="1:9" x14ac:dyDescent="0.2">
      <c r="A46">
        <v>320193</v>
      </c>
      <c r="B46" t="s">
        <v>100</v>
      </c>
      <c r="C46" t="s">
        <v>35</v>
      </c>
      <c r="D46" t="s">
        <v>36</v>
      </c>
      <c r="E46" t="s">
        <v>12</v>
      </c>
      <c r="F46">
        <v>17352119000</v>
      </c>
      <c r="G46" s="1">
        <v>44101</v>
      </c>
      <c r="H46" t="s">
        <v>13</v>
      </c>
      <c r="I46" t="s">
        <v>14</v>
      </c>
    </row>
    <row r="47" spans="1:9" x14ac:dyDescent="0.2">
      <c r="A47">
        <v>320193</v>
      </c>
      <c r="B47" t="s">
        <v>100</v>
      </c>
      <c r="C47" t="s">
        <v>35</v>
      </c>
      <c r="D47" t="s">
        <v>36</v>
      </c>
      <c r="E47" t="s">
        <v>12</v>
      </c>
      <c r="F47">
        <v>17352119000</v>
      </c>
      <c r="G47" s="1">
        <v>44101</v>
      </c>
      <c r="H47" t="s">
        <v>13</v>
      </c>
      <c r="I47" t="s">
        <v>14</v>
      </c>
    </row>
    <row r="48" spans="1:9" x14ac:dyDescent="0.2">
      <c r="A48">
        <v>320193</v>
      </c>
      <c r="B48" t="s">
        <v>97</v>
      </c>
      <c r="C48" t="s">
        <v>35</v>
      </c>
      <c r="D48" t="s">
        <v>36</v>
      </c>
      <c r="E48" t="s">
        <v>12</v>
      </c>
      <c r="F48">
        <v>16701272000</v>
      </c>
      <c r="G48" s="1">
        <v>44465</v>
      </c>
      <c r="H48" t="s">
        <v>13</v>
      </c>
      <c r="I48" t="s">
        <v>14</v>
      </c>
    </row>
    <row r="49" spans="1:9" x14ac:dyDescent="0.2">
      <c r="A49">
        <v>320193</v>
      </c>
      <c r="B49" t="s">
        <v>97</v>
      </c>
      <c r="C49" t="s">
        <v>35</v>
      </c>
      <c r="D49" t="s">
        <v>36</v>
      </c>
      <c r="E49" t="s">
        <v>12</v>
      </c>
      <c r="F49">
        <v>16701272000</v>
      </c>
      <c r="G49" s="1">
        <v>44465</v>
      </c>
      <c r="H49" t="s">
        <v>13</v>
      </c>
      <c r="I49" t="s">
        <v>14</v>
      </c>
    </row>
    <row r="50" spans="1:9" x14ac:dyDescent="0.2">
      <c r="A50">
        <v>320193</v>
      </c>
      <c r="B50" t="s">
        <v>99</v>
      </c>
      <c r="C50" t="s">
        <v>35</v>
      </c>
      <c r="D50" t="s">
        <v>36</v>
      </c>
      <c r="E50" t="s">
        <v>12</v>
      </c>
      <c r="F50">
        <v>16701272000</v>
      </c>
      <c r="G50" s="1">
        <v>44465</v>
      </c>
      <c r="H50" t="s">
        <v>13</v>
      </c>
      <c r="I50" t="s">
        <v>14</v>
      </c>
    </row>
    <row r="51" spans="1:9" x14ac:dyDescent="0.2">
      <c r="A51">
        <v>320193</v>
      </c>
      <c r="B51" t="s">
        <v>99</v>
      </c>
      <c r="C51" t="s">
        <v>35</v>
      </c>
      <c r="D51" t="s">
        <v>36</v>
      </c>
      <c r="E51" t="s">
        <v>12</v>
      </c>
      <c r="F51">
        <v>16701272000</v>
      </c>
      <c r="G51" s="1">
        <v>44465</v>
      </c>
      <c r="H51" t="s">
        <v>13</v>
      </c>
      <c r="I51" t="s">
        <v>14</v>
      </c>
    </row>
    <row r="52" spans="1:9" x14ac:dyDescent="0.2">
      <c r="A52">
        <v>320193</v>
      </c>
      <c r="B52" t="s">
        <v>101</v>
      </c>
      <c r="C52" t="s">
        <v>35</v>
      </c>
      <c r="D52" t="s">
        <v>36</v>
      </c>
      <c r="E52" t="s">
        <v>12</v>
      </c>
      <c r="F52">
        <v>16701272000</v>
      </c>
      <c r="G52" s="1">
        <v>44465</v>
      </c>
      <c r="H52" t="s">
        <v>13</v>
      </c>
      <c r="I52" t="s">
        <v>14</v>
      </c>
    </row>
    <row r="53" spans="1:9" x14ac:dyDescent="0.2">
      <c r="A53">
        <v>320193</v>
      </c>
      <c r="B53" t="s">
        <v>101</v>
      </c>
      <c r="C53" t="s">
        <v>35</v>
      </c>
      <c r="D53" t="s">
        <v>36</v>
      </c>
      <c r="E53" t="s">
        <v>12</v>
      </c>
      <c r="F53">
        <v>16701272000</v>
      </c>
      <c r="G53" s="1">
        <v>44465</v>
      </c>
      <c r="H53" t="s">
        <v>13</v>
      </c>
      <c r="I53" t="s">
        <v>14</v>
      </c>
    </row>
    <row r="54" spans="1:9" x14ac:dyDescent="0.2">
      <c r="A54">
        <v>320193</v>
      </c>
      <c r="B54" t="s">
        <v>97</v>
      </c>
      <c r="C54" t="s">
        <v>35</v>
      </c>
      <c r="D54" t="s">
        <v>36</v>
      </c>
      <c r="E54" t="s">
        <v>12</v>
      </c>
      <c r="F54">
        <v>16215963000</v>
      </c>
      <c r="G54" s="1">
        <v>44829</v>
      </c>
      <c r="H54" t="s">
        <v>13</v>
      </c>
      <c r="I54" t="s">
        <v>14</v>
      </c>
    </row>
    <row r="55" spans="1:9" x14ac:dyDescent="0.2">
      <c r="A55">
        <v>320193</v>
      </c>
      <c r="B55" t="s">
        <v>97</v>
      </c>
      <c r="C55" t="s">
        <v>35</v>
      </c>
      <c r="D55" t="s">
        <v>36</v>
      </c>
      <c r="E55" t="s">
        <v>12</v>
      </c>
      <c r="F55">
        <v>16215963000</v>
      </c>
      <c r="G55" s="1">
        <v>44829</v>
      </c>
      <c r="H55" t="s">
        <v>13</v>
      </c>
      <c r="I55" t="s">
        <v>14</v>
      </c>
    </row>
    <row r="56" spans="1:9" x14ac:dyDescent="0.2">
      <c r="A56">
        <v>320193</v>
      </c>
      <c r="B56" t="s">
        <v>98</v>
      </c>
      <c r="C56" t="s">
        <v>35</v>
      </c>
      <c r="D56" t="s">
        <v>36</v>
      </c>
      <c r="E56" t="s">
        <v>12</v>
      </c>
      <c r="F56">
        <v>16215963000</v>
      </c>
      <c r="G56" s="1">
        <v>44829</v>
      </c>
      <c r="H56" t="s">
        <v>13</v>
      </c>
      <c r="I56" t="s">
        <v>14</v>
      </c>
    </row>
    <row r="57" spans="1:9" x14ac:dyDescent="0.2">
      <c r="A57">
        <v>320193</v>
      </c>
      <c r="B57" t="s">
        <v>98</v>
      </c>
      <c r="C57" t="s">
        <v>35</v>
      </c>
      <c r="D57" t="s">
        <v>36</v>
      </c>
      <c r="E57" t="s">
        <v>12</v>
      </c>
      <c r="F57">
        <v>16215963000</v>
      </c>
      <c r="G57" s="1">
        <v>44829</v>
      </c>
      <c r="H57" t="s">
        <v>13</v>
      </c>
      <c r="I57" t="s">
        <v>14</v>
      </c>
    </row>
    <row r="58" spans="1:9" x14ac:dyDescent="0.2">
      <c r="A58">
        <v>320193</v>
      </c>
      <c r="B58" t="s">
        <v>101</v>
      </c>
      <c r="C58" t="s">
        <v>35</v>
      </c>
      <c r="D58" t="s">
        <v>36</v>
      </c>
      <c r="E58" t="s">
        <v>12</v>
      </c>
      <c r="F58">
        <v>16215963000</v>
      </c>
      <c r="G58" s="1">
        <v>44829</v>
      </c>
      <c r="H58" t="s">
        <v>13</v>
      </c>
      <c r="I58" t="s">
        <v>14</v>
      </c>
    </row>
    <row r="59" spans="1:9" x14ac:dyDescent="0.2">
      <c r="A59">
        <v>320193</v>
      </c>
      <c r="B59" t="s">
        <v>101</v>
      </c>
      <c r="C59" t="s">
        <v>35</v>
      </c>
      <c r="D59" t="s">
        <v>36</v>
      </c>
      <c r="E59" t="s">
        <v>12</v>
      </c>
      <c r="F59">
        <v>16215963000</v>
      </c>
      <c r="G59" s="1">
        <v>44829</v>
      </c>
      <c r="H59" t="s">
        <v>13</v>
      </c>
      <c r="I59" t="s">
        <v>14</v>
      </c>
    </row>
    <row r="60" spans="1:9" x14ac:dyDescent="0.2">
      <c r="A60">
        <v>320193</v>
      </c>
      <c r="B60" t="s">
        <v>88</v>
      </c>
      <c r="C60" t="s">
        <v>35</v>
      </c>
      <c r="D60" t="s">
        <v>36</v>
      </c>
      <c r="E60" t="s">
        <v>12</v>
      </c>
      <c r="F60">
        <v>15744231000</v>
      </c>
      <c r="G60" s="1">
        <v>45200</v>
      </c>
      <c r="H60" t="s">
        <v>13</v>
      </c>
      <c r="I60" t="s">
        <v>14</v>
      </c>
    </row>
    <row r="61" spans="1:9" x14ac:dyDescent="0.2">
      <c r="A61">
        <v>320193</v>
      </c>
      <c r="B61" t="s">
        <v>88</v>
      </c>
      <c r="C61" t="s">
        <v>35</v>
      </c>
      <c r="D61" t="s">
        <v>36</v>
      </c>
      <c r="E61" t="s">
        <v>12</v>
      </c>
      <c r="F61">
        <v>15744231000</v>
      </c>
      <c r="G61" s="1">
        <v>45200</v>
      </c>
      <c r="H61" t="s">
        <v>13</v>
      </c>
      <c r="I61" t="s">
        <v>14</v>
      </c>
    </row>
    <row r="62" spans="1:9" x14ac:dyDescent="0.2">
      <c r="A62">
        <v>320193</v>
      </c>
      <c r="B62" t="s">
        <v>98</v>
      </c>
      <c r="C62" t="s">
        <v>35</v>
      </c>
      <c r="D62" t="s">
        <v>36</v>
      </c>
      <c r="E62" t="s">
        <v>12</v>
      </c>
      <c r="F62">
        <v>15744231000</v>
      </c>
      <c r="G62" s="1">
        <v>45200</v>
      </c>
      <c r="H62" t="s">
        <v>13</v>
      </c>
      <c r="I62" t="s">
        <v>14</v>
      </c>
    </row>
    <row r="63" spans="1:9" x14ac:dyDescent="0.2">
      <c r="A63">
        <v>320193</v>
      </c>
      <c r="B63" t="s">
        <v>98</v>
      </c>
      <c r="C63" t="s">
        <v>35</v>
      </c>
      <c r="D63" t="s">
        <v>36</v>
      </c>
      <c r="E63" t="s">
        <v>12</v>
      </c>
      <c r="F63">
        <v>15744231000</v>
      </c>
      <c r="G63" s="1">
        <v>45200</v>
      </c>
      <c r="H63" t="s">
        <v>13</v>
      </c>
      <c r="I63" t="s">
        <v>14</v>
      </c>
    </row>
    <row r="64" spans="1:9" x14ac:dyDescent="0.2">
      <c r="A64">
        <v>320193</v>
      </c>
      <c r="B64" t="s">
        <v>101</v>
      </c>
      <c r="C64" t="s">
        <v>35</v>
      </c>
      <c r="D64" t="s">
        <v>36</v>
      </c>
      <c r="E64" t="s">
        <v>12</v>
      </c>
      <c r="F64">
        <v>15744231000</v>
      </c>
      <c r="G64" s="1">
        <v>45200</v>
      </c>
      <c r="H64" t="s">
        <v>13</v>
      </c>
      <c r="I64" t="s">
        <v>14</v>
      </c>
    </row>
    <row r="65" spans="1:9" x14ac:dyDescent="0.2">
      <c r="A65">
        <v>320193</v>
      </c>
      <c r="B65" t="s">
        <v>101</v>
      </c>
      <c r="C65" t="s">
        <v>35</v>
      </c>
      <c r="D65" t="s">
        <v>36</v>
      </c>
      <c r="E65" t="s">
        <v>12</v>
      </c>
      <c r="F65">
        <v>15744231000</v>
      </c>
      <c r="G65" s="1">
        <v>45200</v>
      </c>
      <c r="H65" t="s">
        <v>13</v>
      </c>
      <c r="I65" t="s">
        <v>14</v>
      </c>
    </row>
    <row r="66" spans="1:9" x14ac:dyDescent="0.2">
      <c r="A66">
        <v>320193</v>
      </c>
      <c r="B66" t="s">
        <v>88</v>
      </c>
      <c r="C66" t="s">
        <v>35</v>
      </c>
      <c r="D66" t="s">
        <v>36</v>
      </c>
      <c r="E66" t="s">
        <v>12</v>
      </c>
      <c r="F66">
        <v>15343783000</v>
      </c>
      <c r="G66" s="1">
        <v>45564</v>
      </c>
      <c r="H66" t="s">
        <v>13</v>
      </c>
      <c r="I66" t="s">
        <v>14</v>
      </c>
    </row>
    <row r="67" spans="1:9" x14ac:dyDescent="0.2">
      <c r="A67">
        <v>320193</v>
      </c>
      <c r="B67" t="s">
        <v>88</v>
      </c>
      <c r="C67" t="s">
        <v>35</v>
      </c>
      <c r="D67" t="s">
        <v>36</v>
      </c>
      <c r="E67" t="s">
        <v>12</v>
      </c>
      <c r="F67">
        <v>15343783000</v>
      </c>
      <c r="G67" s="1">
        <v>45564</v>
      </c>
      <c r="H67" t="s">
        <v>13</v>
      </c>
      <c r="I67" t="s">
        <v>14</v>
      </c>
    </row>
    <row r="68" spans="1:9" x14ac:dyDescent="0.2">
      <c r="A68">
        <v>320193</v>
      </c>
      <c r="B68" t="s">
        <v>98</v>
      </c>
      <c r="C68" t="s">
        <v>35</v>
      </c>
      <c r="D68" t="s">
        <v>36</v>
      </c>
      <c r="E68" t="s">
        <v>12</v>
      </c>
      <c r="F68">
        <v>15343783000</v>
      </c>
      <c r="G68" s="1">
        <v>45564</v>
      </c>
      <c r="H68" t="s">
        <v>13</v>
      </c>
      <c r="I68" t="s">
        <v>14</v>
      </c>
    </row>
    <row r="69" spans="1:9" x14ac:dyDescent="0.2">
      <c r="A69">
        <v>320193</v>
      </c>
      <c r="B69" t="s">
        <v>98</v>
      </c>
      <c r="C69" t="s">
        <v>35</v>
      </c>
      <c r="D69" t="s">
        <v>36</v>
      </c>
      <c r="E69" t="s">
        <v>12</v>
      </c>
      <c r="F69">
        <v>15343783000</v>
      </c>
      <c r="G69" s="1">
        <v>45564</v>
      </c>
      <c r="H69" t="s">
        <v>13</v>
      </c>
      <c r="I69" t="s">
        <v>14</v>
      </c>
    </row>
    <row r="70" spans="1:9" x14ac:dyDescent="0.2">
      <c r="A70">
        <v>320193</v>
      </c>
      <c r="B70" t="s">
        <v>88</v>
      </c>
      <c r="C70" t="s">
        <v>35</v>
      </c>
      <c r="D70" t="s">
        <v>36</v>
      </c>
      <c r="E70" t="s">
        <v>12</v>
      </c>
      <c r="F70">
        <v>14948500000</v>
      </c>
      <c r="G70" s="1">
        <v>45928</v>
      </c>
      <c r="H70" t="s">
        <v>13</v>
      </c>
      <c r="I70" t="s">
        <v>14</v>
      </c>
    </row>
    <row r="71" spans="1:9" x14ac:dyDescent="0.2">
      <c r="A71">
        <v>320193</v>
      </c>
      <c r="B71" t="s">
        <v>88</v>
      </c>
      <c r="C71" t="s">
        <v>35</v>
      </c>
      <c r="D71" t="s">
        <v>36</v>
      </c>
      <c r="E71" t="s">
        <v>12</v>
      </c>
      <c r="F71">
        <v>14948500000</v>
      </c>
      <c r="G71" s="1">
        <v>45928</v>
      </c>
      <c r="H71" t="s">
        <v>13</v>
      </c>
      <c r="I71" t="s">
        <v>14</v>
      </c>
    </row>
    <row r="72" spans="1:9" x14ac:dyDescent="0.2">
      <c r="A72">
        <v>320193</v>
      </c>
      <c r="B72" t="s">
        <v>9</v>
      </c>
      <c r="C72" t="s">
        <v>31</v>
      </c>
      <c r="D72" t="s">
        <v>32</v>
      </c>
      <c r="E72" t="s">
        <v>12</v>
      </c>
      <c r="F72">
        <v>9.27</v>
      </c>
      <c r="G72" s="1">
        <v>43009</v>
      </c>
      <c r="H72" t="s">
        <v>13</v>
      </c>
      <c r="I72" t="s">
        <v>14</v>
      </c>
    </row>
    <row r="73" spans="1:9" x14ac:dyDescent="0.2">
      <c r="A73">
        <v>320193</v>
      </c>
      <c r="B73" t="s">
        <v>9</v>
      </c>
      <c r="C73" t="s">
        <v>31</v>
      </c>
      <c r="D73" t="s">
        <v>32</v>
      </c>
      <c r="E73" t="s">
        <v>12</v>
      </c>
      <c r="F73">
        <v>9.27</v>
      </c>
      <c r="G73" s="1">
        <v>43009</v>
      </c>
      <c r="H73" t="s">
        <v>13</v>
      </c>
      <c r="I73" t="s">
        <v>14</v>
      </c>
    </row>
    <row r="74" spans="1:9" x14ac:dyDescent="0.2">
      <c r="A74">
        <v>320193</v>
      </c>
      <c r="B74" t="s">
        <v>9</v>
      </c>
      <c r="C74" t="s">
        <v>31</v>
      </c>
      <c r="D74" t="s">
        <v>32</v>
      </c>
      <c r="E74" t="s">
        <v>12</v>
      </c>
      <c r="F74">
        <v>3.92</v>
      </c>
      <c r="G74" s="1">
        <v>43100</v>
      </c>
      <c r="H74" t="s">
        <v>13</v>
      </c>
      <c r="I74" t="s">
        <v>14</v>
      </c>
    </row>
    <row r="75" spans="1:9" x14ac:dyDescent="0.2">
      <c r="A75">
        <v>320193</v>
      </c>
      <c r="B75" t="s">
        <v>9</v>
      </c>
      <c r="C75" t="s">
        <v>31</v>
      </c>
      <c r="D75" t="s">
        <v>32</v>
      </c>
      <c r="E75" t="s">
        <v>12</v>
      </c>
      <c r="F75">
        <v>2.75</v>
      </c>
      <c r="G75" s="1">
        <v>43191</v>
      </c>
      <c r="H75" t="s">
        <v>13</v>
      </c>
      <c r="I75" t="s">
        <v>14</v>
      </c>
    </row>
    <row r="76" spans="1:9" x14ac:dyDescent="0.2">
      <c r="A76">
        <v>320193</v>
      </c>
      <c r="B76" t="s">
        <v>9</v>
      </c>
      <c r="C76" t="s">
        <v>31</v>
      </c>
      <c r="D76" t="s">
        <v>32</v>
      </c>
      <c r="E76" t="s">
        <v>12</v>
      </c>
      <c r="F76">
        <v>2.36</v>
      </c>
      <c r="G76" s="1">
        <v>43282</v>
      </c>
      <c r="H76" t="s">
        <v>13</v>
      </c>
      <c r="I76" t="s">
        <v>14</v>
      </c>
    </row>
    <row r="77" spans="1:9" x14ac:dyDescent="0.2">
      <c r="A77">
        <v>320193</v>
      </c>
      <c r="B77" t="s">
        <v>9</v>
      </c>
      <c r="C77" t="s">
        <v>31</v>
      </c>
      <c r="D77" t="s">
        <v>32</v>
      </c>
      <c r="E77" t="s">
        <v>12</v>
      </c>
      <c r="F77">
        <v>12.01</v>
      </c>
      <c r="G77" s="1">
        <v>43373</v>
      </c>
      <c r="H77" t="s">
        <v>13</v>
      </c>
      <c r="I77" t="s">
        <v>14</v>
      </c>
    </row>
    <row r="78" spans="1:9" x14ac:dyDescent="0.2">
      <c r="A78">
        <v>320193</v>
      </c>
      <c r="B78" t="s">
        <v>9</v>
      </c>
      <c r="C78" t="s">
        <v>31</v>
      </c>
      <c r="D78" t="s">
        <v>32</v>
      </c>
      <c r="E78" t="s">
        <v>12</v>
      </c>
      <c r="F78">
        <v>12.01</v>
      </c>
      <c r="G78" s="1">
        <v>43373</v>
      </c>
      <c r="H78" t="s">
        <v>13</v>
      </c>
      <c r="I78" t="s">
        <v>14</v>
      </c>
    </row>
    <row r="79" spans="1:9" x14ac:dyDescent="0.2">
      <c r="A79">
        <v>320193</v>
      </c>
      <c r="B79" t="s">
        <v>9</v>
      </c>
      <c r="C79" t="s">
        <v>31</v>
      </c>
      <c r="D79" t="s">
        <v>32</v>
      </c>
      <c r="E79" t="s">
        <v>12</v>
      </c>
      <c r="F79">
        <v>2.94</v>
      </c>
      <c r="G79" s="1">
        <v>43373</v>
      </c>
      <c r="H79" t="s">
        <v>13</v>
      </c>
      <c r="I79" t="s">
        <v>14</v>
      </c>
    </row>
    <row r="80" spans="1:9" x14ac:dyDescent="0.2">
      <c r="A80">
        <v>320193</v>
      </c>
      <c r="B80" t="s">
        <v>100</v>
      </c>
      <c r="C80" t="s">
        <v>31</v>
      </c>
      <c r="D80" t="s">
        <v>32</v>
      </c>
      <c r="E80" t="s">
        <v>12</v>
      </c>
      <c r="F80">
        <v>3</v>
      </c>
      <c r="G80" s="1">
        <v>43373</v>
      </c>
      <c r="H80" t="s">
        <v>13</v>
      </c>
      <c r="I80" t="s">
        <v>14</v>
      </c>
    </row>
    <row r="81" spans="1:9" x14ac:dyDescent="0.2">
      <c r="A81">
        <v>320193</v>
      </c>
      <c r="B81" t="s">
        <v>100</v>
      </c>
      <c r="C81" t="s">
        <v>31</v>
      </c>
      <c r="D81" t="s">
        <v>32</v>
      </c>
      <c r="E81" t="s">
        <v>12</v>
      </c>
      <c r="F81">
        <v>3</v>
      </c>
      <c r="G81" s="1">
        <v>43373</v>
      </c>
      <c r="H81" t="s">
        <v>13</v>
      </c>
      <c r="I81" t="s">
        <v>14</v>
      </c>
    </row>
    <row r="82" spans="1:9" x14ac:dyDescent="0.2">
      <c r="A82">
        <v>320193</v>
      </c>
      <c r="B82" t="s">
        <v>9</v>
      </c>
      <c r="C82" t="s">
        <v>31</v>
      </c>
      <c r="D82" t="s">
        <v>32</v>
      </c>
      <c r="E82" t="s">
        <v>12</v>
      </c>
      <c r="F82">
        <v>4.22</v>
      </c>
      <c r="G82" s="1">
        <v>43464</v>
      </c>
      <c r="H82" t="s">
        <v>13</v>
      </c>
      <c r="I82" t="s">
        <v>14</v>
      </c>
    </row>
    <row r="83" spans="1:9" x14ac:dyDescent="0.2">
      <c r="A83">
        <v>320193</v>
      </c>
      <c r="B83" t="s">
        <v>100</v>
      </c>
      <c r="C83" t="s">
        <v>31</v>
      </c>
      <c r="D83" t="s">
        <v>32</v>
      </c>
      <c r="E83" t="s">
        <v>12</v>
      </c>
      <c r="F83">
        <v>1.05</v>
      </c>
      <c r="G83" s="1">
        <v>43464</v>
      </c>
      <c r="H83" t="s">
        <v>13</v>
      </c>
      <c r="I83" t="s">
        <v>14</v>
      </c>
    </row>
    <row r="84" spans="1:9" x14ac:dyDescent="0.2">
      <c r="A84">
        <v>320193</v>
      </c>
      <c r="B84" t="s">
        <v>9</v>
      </c>
      <c r="C84" t="s">
        <v>31</v>
      </c>
      <c r="D84" t="s">
        <v>32</v>
      </c>
      <c r="E84" t="s">
        <v>12</v>
      </c>
      <c r="F84">
        <v>2.4700000000000002</v>
      </c>
      <c r="G84" s="1">
        <v>43555</v>
      </c>
      <c r="H84" t="s">
        <v>13</v>
      </c>
      <c r="I84" t="s">
        <v>14</v>
      </c>
    </row>
    <row r="85" spans="1:9" x14ac:dyDescent="0.2">
      <c r="A85">
        <v>320193</v>
      </c>
      <c r="B85" t="s">
        <v>100</v>
      </c>
      <c r="C85" t="s">
        <v>31</v>
      </c>
      <c r="D85" t="s">
        <v>32</v>
      </c>
      <c r="E85" t="s">
        <v>12</v>
      </c>
      <c r="F85">
        <v>0.62</v>
      </c>
      <c r="G85" s="1">
        <v>43555</v>
      </c>
      <c r="H85" t="s">
        <v>13</v>
      </c>
      <c r="I85" t="s">
        <v>14</v>
      </c>
    </row>
    <row r="86" spans="1:9" x14ac:dyDescent="0.2">
      <c r="A86">
        <v>320193</v>
      </c>
      <c r="B86" t="s">
        <v>9</v>
      </c>
      <c r="C86" t="s">
        <v>31</v>
      </c>
      <c r="D86" t="s">
        <v>32</v>
      </c>
      <c r="E86" t="s">
        <v>12</v>
      </c>
      <c r="F86">
        <v>2.2000000000000002</v>
      </c>
      <c r="G86" s="1">
        <v>43646</v>
      </c>
      <c r="H86" t="s">
        <v>13</v>
      </c>
      <c r="I86" t="s">
        <v>14</v>
      </c>
    </row>
    <row r="87" spans="1:9" x14ac:dyDescent="0.2">
      <c r="A87">
        <v>320193</v>
      </c>
      <c r="B87" t="s">
        <v>100</v>
      </c>
      <c r="C87" t="s">
        <v>31</v>
      </c>
      <c r="D87" t="s">
        <v>32</v>
      </c>
      <c r="E87" t="s">
        <v>12</v>
      </c>
      <c r="F87">
        <v>0.55000000000000004</v>
      </c>
      <c r="G87" s="1">
        <v>43646</v>
      </c>
      <c r="H87" t="s">
        <v>13</v>
      </c>
      <c r="I87" t="s">
        <v>14</v>
      </c>
    </row>
    <row r="88" spans="1:9" x14ac:dyDescent="0.2">
      <c r="A88">
        <v>320193</v>
      </c>
      <c r="B88" t="s">
        <v>9</v>
      </c>
      <c r="C88" t="s">
        <v>31</v>
      </c>
      <c r="D88" t="s">
        <v>32</v>
      </c>
      <c r="E88" t="s">
        <v>12</v>
      </c>
      <c r="F88">
        <v>11.97</v>
      </c>
      <c r="G88" s="1">
        <v>43737</v>
      </c>
      <c r="H88" t="s">
        <v>13</v>
      </c>
      <c r="I88" t="s">
        <v>14</v>
      </c>
    </row>
    <row r="89" spans="1:9" x14ac:dyDescent="0.2">
      <c r="A89">
        <v>320193</v>
      </c>
      <c r="B89" t="s">
        <v>9</v>
      </c>
      <c r="C89" t="s">
        <v>31</v>
      </c>
      <c r="D89" t="s">
        <v>32</v>
      </c>
      <c r="E89" t="s">
        <v>12</v>
      </c>
      <c r="F89">
        <v>11.97</v>
      </c>
      <c r="G89" s="1">
        <v>43737</v>
      </c>
      <c r="H89" t="s">
        <v>13</v>
      </c>
      <c r="I89" t="s">
        <v>14</v>
      </c>
    </row>
    <row r="90" spans="1:9" x14ac:dyDescent="0.2">
      <c r="A90">
        <v>320193</v>
      </c>
      <c r="B90" t="s">
        <v>9</v>
      </c>
      <c r="C90" t="s">
        <v>31</v>
      </c>
      <c r="D90" t="s">
        <v>32</v>
      </c>
      <c r="E90" t="s">
        <v>12</v>
      </c>
      <c r="F90">
        <v>3.05</v>
      </c>
      <c r="G90" s="1">
        <v>43737</v>
      </c>
      <c r="H90" t="s">
        <v>13</v>
      </c>
      <c r="I90" t="s">
        <v>14</v>
      </c>
    </row>
    <row r="91" spans="1:9" x14ac:dyDescent="0.2">
      <c r="A91">
        <v>320193</v>
      </c>
      <c r="B91" t="s">
        <v>99</v>
      </c>
      <c r="C91" t="s">
        <v>31</v>
      </c>
      <c r="D91" t="s">
        <v>32</v>
      </c>
      <c r="E91" t="s">
        <v>12</v>
      </c>
      <c r="F91">
        <v>2.99</v>
      </c>
      <c r="G91" s="1">
        <v>43737</v>
      </c>
      <c r="H91" t="s">
        <v>13</v>
      </c>
      <c r="I91" t="s">
        <v>14</v>
      </c>
    </row>
    <row r="92" spans="1:9" x14ac:dyDescent="0.2">
      <c r="A92">
        <v>320193</v>
      </c>
      <c r="B92" t="s">
        <v>99</v>
      </c>
      <c r="C92" t="s">
        <v>31</v>
      </c>
      <c r="D92" t="s">
        <v>32</v>
      </c>
      <c r="E92" t="s">
        <v>12</v>
      </c>
      <c r="F92">
        <v>2.99</v>
      </c>
      <c r="G92" s="1">
        <v>43737</v>
      </c>
      <c r="H92" t="s">
        <v>13</v>
      </c>
      <c r="I92" t="s">
        <v>14</v>
      </c>
    </row>
    <row r="93" spans="1:9" x14ac:dyDescent="0.2">
      <c r="A93">
        <v>320193</v>
      </c>
      <c r="B93" t="s">
        <v>100</v>
      </c>
      <c r="C93" t="s">
        <v>31</v>
      </c>
      <c r="D93" t="s">
        <v>32</v>
      </c>
      <c r="E93" t="s">
        <v>12</v>
      </c>
      <c r="F93">
        <v>2.99</v>
      </c>
      <c r="G93" s="1">
        <v>43737</v>
      </c>
      <c r="H93" t="s">
        <v>13</v>
      </c>
      <c r="I93" t="s">
        <v>14</v>
      </c>
    </row>
    <row r="94" spans="1:9" x14ac:dyDescent="0.2">
      <c r="A94">
        <v>320193</v>
      </c>
      <c r="B94" t="s">
        <v>100</v>
      </c>
      <c r="C94" t="s">
        <v>31</v>
      </c>
      <c r="D94" t="s">
        <v>32</v>
      </c>
      <c r="E94" t="s">
        <v>12</v>
      </c>
      <c r="F94">
        <v>2.99</v>
      </c>
      <c r="G94" s="1">
        <v>43737</v>
      </c>
      <c r="H94" t="s">
        <v>13</v>
      </c>
      <c r="I94" t="s">
        <v>14</v>
      </c>
    </row>
    <row r="95" spans="1:9" x14ac:dyDescent="0.2">
      <c r="A95">
        <v>320193</v>
      </c>
      <c r="B95" t="s">
        <v>100</v>
      </c>
      <c r="C95" t="s">
        <v>31</v>
      </c>
      <c r="D95" t="s">
        <v>32</v>
      </c>
      <c r="E95" t="s">
        <v>12</v>
      </c>
      <c r="F95">
        <v>0.76</v>
      </c>
      <c r="G95" s="1">
        <v>43737</v>
      </c>
      <c r="H95" t="s">
        <v>13</v>
      </c>
      <c r="I95" t="s">
        <v>14</v>
      </c>
    </row>
    <row r="96" spans="1:9" x14ac:dyDescent="0.2">
      <c r="A96">
        <v>320193</v>
      </c>
      <c r="B96" t="s">
        <v>100</v>
      </c>
      <c r="C96" t="s">
        <v>31</v>
      </c>
      <c r="D96" t="s">
        <v>32</v>
      </c>
      <c r="E96" t="s">
        <v>12</v>
      </c>
      <c r="F96">
        <v>1.26</v>
      </c>
      <c r="G96" s="1">
        <v>43828</v>
      </c>
      <c r="H96" t="s">
        <v>13</v>
      </c>
      <c r="I96" t="s">
        <v>14</v>
      </c>
    </row>
    <row r="97" spans="1:9" x14ac:dyDescent="0.2">
      <c r="A97">
        <v>320193</v>
      </c>
      <c r="B97" t="s">
        <v>100</v>
      </c>
      <c r="C97" t="s">
        <v>31</v>
      </c>
      <c r="D97" t="s">
        <v>32</v>
      </c>
      <c r="E97" t="s">
        <v>12</v>
      </c>
      <c r="F97">
        <v>0.64</v>
      </c>
      <c r="G97" s="1">
        <v>43919</v>
      </c>
      <c r="H97" t="s">
        <v>13</v>
      </c>
      <c r="I97" t="s">
        <v>14</v>
      </c>
    </row>
    <row r="98" spans="1:9" x14ac:dyDescent="0.2">
      <c r="A98">
        <v>320193</v>
      </c>
      <c r="B98" t="s">
        <v>100</v>
      </c>
      <c r="C98" t="s">
        <v>31</v>
      </c>
      <c r="D98" t="s">
        <v>32</v>
      </c>
      <c r="E98" t="s">
        <v>12</v>
      </c>
      <c r="F98">
        <v>0.65</v>
      </c>
      <c r="G98" s="1">
        <v>44010</v>
      </c>
      <c r="H98" t="s">
        <v>13</v>
      </c>
      <c r="I98" t="s">
        <v>14</v>
      </c>
    </row>
    <row r="99" spans="1:9" x14ac:dyDescent="0.2">
      <c r="A99">
        <v>320193</v>
      </c>
      <c r="B99" t="s">
        <v>97</v>
      </c>
      <c r="C99" t="s">
        <v>31</v>
      </c>
      <c r="D99" t="s">
        <v>32</v>
      </c>
      <c r="E99" t="s">
        <v>12</v>
      </c>
      <c r="F99">
        <v>3.31</v>
      </c>
      <c r="G99" s="1">
        <v>44101</v>
      </c>
      <c r="H99" t="s">
        <v>13</v>
      </c>
      <c r="I99" t="s">
        <v>14</v>
      </c>
    </row>
    <row r="100" spans="1:9" x14ac:dyDescent="0.2">
      <c r="A100">
        <v>320193</v>
      </c>
      <c r="B100" t="s">
        <v>97</v>
      </c>
      <c r="C100" t="s">
        <v>31</v>
      </c>
      <c r="D100" t="s">
        <v>32</v>
      </c>
      <c r="E100" t="s">
        <v>12</v>
      </c>
      <c r="F100">
        <v>3.31</v>
      </c>
      <c r="G100" s="1">
        <v>44101</v>
      </c>
      <c r="H100" t="s">
        <v>13</v>
      </c>
      <c r="I100" t="s">
        <v>14</v>
      </c>
    </row>
    <row r="101" spans="1:9" x14ac:dyDescent="0.2">
      <c r="A101">
        <v>320193</v>
      </c>
      <c r="B101" t="s">
        <v>99</v>
      </c>
      <c r="C101" t="s">
        <v>31</v>
      </c>
      <c r="D101" t="s">
        <v>32</v>
      </c>
      <c r="E101" t="s">
        <v>12</v>
      </c>
      <c r="F101">
        <v>3.31</v>
      </c>
      <c r="G101" s="1">
        <v>44101</v>
      </c>
      <c r="H101" t="s">
        <v>13</v>
      </c>
      <c r="I101" t="s">
        <v>14</v>
      </c>
    </row>
    <row r="102" spans="1:9" x14ac:dyDescent="0.2">
      <c r="A102">
        <v>320193</v>
      </c>
      <c r="B102" t="s">
        <v>99</v>
      </c>
      <c r="C102" t="s">
        <v>31</v>
      </c>
      <c r="D102" t="s">
        <v>32</v>
      </c>
      <c r="E102" t="s">
        <v>12</v>
      </c>
      <c r="F102">
        <v>3.31</v>
      </c>
      <c r="G102" s="1">
        <v>44101</v>
      </c>
      <c r="H102" t="s">
        <v>13</v>
      </c>
      <c r="I102" t="s">
        <v>14</v>
      </c>
    </row>
    <row r="103" spans="1:9" x14ac:dyDescent="0.2">
      <c r="A103">
        <v>320193</v>
      </c>
      <c r="B103" t="s">
        <v>100</v>
      </c>
      <c r="C103" t="s">
        <v>31</v>
      </c>
      <c r="D103" t="s">
        <v>32</v>
      </c>
      <c r="E103" t="s">
        <v>12</v>
      </c>
      <c r="F103">
        <v>3.31</v>
      </c>
      <c r="G103" s="1">
        <v>44101</v>
      </c>
      <c r="H103" t="s">
        <v>13</v>
      </c>
      <c r="I103" t="s">
        <v>14</v>
      </c>
    </row>
    <row r="104" spans="1:9" x14ac:dyDescent="0.2">
      <c r="A104">
        <v>320193</v>
      </c>
      <c r="B104" t="s">
        <v>100</v>
      </c>
      <c r="C104" t="s">
        <v>31</v>
      </c>
      <c r="D104" t="s">
        <v>32</v>
      </c>
      <c r="E104" t="s">
        <v>12</v>
      </c>
      <c r="F104">
        <v>3.31</v>
      </c>
      <c r="G104" s="1">
        <v>44101</v>
      </c>
      <c r="H104" t="s">
        <v>13</v>
      </c>
      <c r="I104" t="s">
        <v>14</v>
      </c>
    </row>
    <row r="105" spans="1:9" x14ac:dyDescent="0.2">
      <c r="A105">
        <v>320193</v>
      </c>
      <c r="B105" t="s">
        <v>100</v>
      </c>
      <c r="C105" t="s">
        <v>31</v>
      </c>
      <c r="D105" t="s">
        <v>32</v>
      </c>
      <c r="E105" t="s">
        <v>12</v>
      </c>
      <c r="F105">
        <v>0.74</v>
      </c>
      <c r="G105" s="1">
        <v>44101</v>
      </c>
      <c r="H105" t="s">
        <v>13</v>
      </c>
      <c r="I105" t="s">
        <v>14</v>
      </c>
    </row>
    <row r="106" spans="1:9" x14ac:dyDescent="0.2">
      <c r="A106">
        <v>320193</v>
      </c>
      <c r="B106" t="s">
        <v>97</v>
      </c>
      <c r="C106" t="s">
        <v>31</v>
      </c>
      <c r="D106" t="s">
        <v>32</v>
      </c>
      <c r="E106" t="s">
        <v>12</v>
      </c>
      <c r="F106">
        <v>5.67</v>
      </c>
      <c r="G106" s="1">
        <v>44465</v>
      </c>
      <c r="H106" t="s">
        <v>13</v>
      </c>
      <c r="I106" t="s">
        <v>14</v>
      </c>
    </row>
    <row r="107" spans="1:9" x14ac:dyDescent="0.2">
      <c r="A107">
        <v>320193</v>
      </c>
      <c r="B107" t="s">
        <v>97</v>
      </c>
      <c r="C107" t="s">
        <v>31</v>
      </c>
      <c r="D107" t="s">
        <v>32</v>
      </c>
      <c r="E107" t="s">
        <v>12</v>
      </c>
      <c r="F107">
        <v>5.67</v>
      </c>
      <c r="G107" s="1">
        <v>44465</v>
      </c>
      <c r="H107" t="s">
        <v>13</v>
      </c>
      <c r="I107" t="s">
        <v>14</v>
      </c>
    </row>
    <row r="108" spans="1:9" x14ac:dyDescent="0.2">
      <c r="A108">
        <v>320193</v>
      </c>
      <c r="B108" t="s">
        <v>99</v>
      </c>
      <c r="C108" t="s">
        <v>31</v>
      </c>
      <c r="D108" t="s">
        <v>32</v>
      </c>
      <c r="E108" t="s">
        <v>12</v>
      </c>
      <c r="F108">
        <v>5.67</v>
      </c>
      <c r="G108" s="1">
        <v>44465</v>
      </c>
      <c r="H108" t="s">
        <v>13</v>
      </c>
      <c r="I108" t="s">
        <v>14</v>
      </c>
    </row>
    <row r="109" spans="1:9" x14ac:dyDescent="0.2">
      <c r="A109">
        <v>320193</v>
      </c>
      <c r="B109" t="s">
        <v>99</v>
      </c>
      <c r="C109" t="s">
        <v>31</v>
      </c>
      <c r="D109" t="s">
        <v>32</v>
      </c>
      <c r="E109" t="s">
        <v>12</v>
      </c>
      <c r="F109">
        <v>5.67</v>
      </c>
      <c r="G109" s="1">
        <v>44465</v>
      </c>
      <c r="H109" t="s">
        <v>13</v>
      </c>
      <c r="I109" t="s">
        <v>14</v>
      </c>
    </row>
    <row r="110" spans="1:9" x14ac:dyDescent="0.2">
      <c r="A110">
        <v>320193</v>
      </c>
      <c r="B110" t="s">
        <v>101</v>
      </c>
      <c r="C110" t="s">
        <v>31</v>
      </c>
      <c r="D110" t="s">
        <v>32</v>
      </c>
      <c r="E110" t="s">
        <v>12</v>
      </c>
      <c r="F110">
        <v>5.67</v>
      </c>
      <c r="G110" s="1">
        <v>44465</v>
      </c>
      <c r="H110" t="s">
        <v>13</v>
      </c>
      <c r="I110" t="s">
        <v>14</v>
      </c>
    </row>
    <row r="111" spans="1:9" x14ac:dyDescent="0.2">
      <c r="A111">
        <v>320193</v>
      </c>
      <c r="B111" t="s">
        <v>101</v>
      </c>
      <c r="C111" t="s">
        <v>31</v>
      </c>
      <c r="D111" t="s">
        <v>32</v>
      </c>
      <c r="E111" t="s">
        <v>12</v>
      </c>
      <c r="F111">
        <v>5.67</v>
      </c>
      <c r="G111" s="1">
        <v>44465</v>
      </c>
      <c r="H111" t="s">
        <v>13</v>
      </c>
      <c r="I111" t="s">
        <v>14</v>
      </c>
    </row>
    <row r="112" spans="1:9" x14ac:dyDescent="0.2">
      <c r="A112">
        <v>320193</v>
      </c>
      <c r="B112" t="s">
        <v>97</v>
      </c>
      <c r="C112" t="s">
        <v>31</v>
      </c>
      <c r="D112" t="s">
        <v>32</v>
      </c>
      <c r="E112" t="s">
        <v>12</v>
      </c>
      <c r="F112">
        <v>6.15</v>
      </c>
      <c r="G112" s="1">
        <v>44829</v>
      </c>
      <c r="H112" t="s">
        <v>13</v>
      </c>
      <c r="I112" t="s">
        <v>14</v>
      </c>
    </row>
    <row r="113" spans="1:9" x14ac:dyDescent="0.2">
      <c r="A113">
        <v>320193</v>
      </c>
      <c r="B113" t="s">
        <v>97</v>
      </c>
      <c r="C113" t="s">
        <v>31</v>
      </c>
      <c r="D113" t="s">
        <v>32</v>
      </c>
      <c r="E113" t="s">
        <v>12</v>
      </c>
      <c r="F113">
        <v>6.15</v>
      </c>
      <c r="G113" s="1">
        <v>44829</v>
      </c>
      <c r="H113" t="s">
        <v>13</v>
      </c>
      <c r="I113" t="s">
        <v>14</v>
      </c>
    </row>
    <row r="114" spans="1:9" x14ac:dyDescent="0.2">
      <c r="A114">
        <v>320193</v>
      </c>
      <c r="B114" t="s">
        <v>98</v>
      </c>
      <c r="C114" t="s">
        <v>31</v>
      </c>
      <c r="D114" t="s">
        <v>32</v>
      </c>
      <c r="E114" t="s">
        <v>12</v>
      </c>
      <c r="F114">
        <v>6.15</v>
      </c>
      <c r="G114" s="1">
        <v>44829</v>
      </c>
      <c r="H114" t="s">
        <v>13</v>
      </c>
      <c r="I114" t="s">
        <v>14</v>
      </c>
    </row>
    <row r="115" spans="1:9" x14ac:dyDescent="0.2">
      <c r="A115">
        <v>320193</v>
      </c>
      <c r="B115" t="s">
        <v>98</v>
      </c>
      <c r="C115" t="s">
        <v>31</v>
      </c>
      <c r="D115" t="s">
        <v>32</v>
      </c>
      <c r="E115" t="s">
        <v>12</v>
      </c>
      <c r="F115">
        <v>6.15</v>
      </c>
      <c r="G115" s="1">
        <v>44829</v>
      </c>
      <c r="H115" t="s">
        <v>13</v>
      </c>
      <c r="I115" t="s">
        <v>14</v>
      </c>
    </row>
    <row r="116" spans="1:9" x14ac:dyDescent="0.2">
      <c r="A116">
        <v>320193</v>
      </c>
      <c r="B116" t="s">
        <v>101</v>
      </c>
      <c r="C116" t="s">
        <v>31</v>
      </c>
      <c r="D116" t="s">
        <v>32</v>
      </c>
      <c r="E116" t="s">
        <v>12</v>
      </c>
      <c r="F116">
        <v>6.15</v>
      </c>
      <c r="G116" s="1">
        <v>44829</v>
      </c>
      <c r="H116" t="s">
        <v>13</v>
      </c>
      <c r="I116" t="s">
        <v>14</v>
      </c>
    </row>
    <row r="117" spans="1:9" x14ac:dyDescent="0.2">
      <c r="A117">
        <v>320193</v>
      </c>
      <c r="B117" t="s">
        <v>101</v>
      </c>
      <c r="C117" t="s">
        <v>31</v>
      </c>
      <c r="D117" t="s">
        <v>32</v>
      </c>
      <c r="E117" t="s">
        <v>12</v>
      </c>
      <c r="F117">
        <v>6.15</v>
      </c>
      <c r="G117" s="1">
        <v>44829</v>
      </c>
      <c r="H117" t="s">
        <v>13</v>
      </c>
      <c r="I117" t="s">
        <v>14</v>
      </c>
    </row>
    <row r="118" spans="1:9" x14ac:dyDescent="0.2">
      <c r="A118">
        <v>320193</v>
      </c>
      <c r="B118" t="s">
        <v>88</v>
      </c>
      <c r="C118" t="s">
        <v>31</v>
      </c>
      <c r="D118" t="s">
        <v>32</v>
      </c>
      <c r="E118" t="s">
        <v>12</v>
      </c>
      <c r="F118">
        <v>6.16</v>
      </c>
      <c r="G118" s="1">
        <v>45200</v>
      </c>
      <c r="H118" t="s">
        <v>13</v>
      </c>
      <c r="I118" t="s">
        <v>14</v>
      </c>
    </row>
    <row r="119" spans="1:9" x14ac:dyDescent="0.2">
      <c r="A119">
        <v>320193</v>
      </c>
      <c r="B119" t="s">
        <v>88</v>
      </c>
      <c r="C119" t="s">
        <v>31</v>
      </c>
      <c r="D119" t="s">
        <v>32</v>
      </c>
      <c r="E119" t="s">
        <v>12</v>
      </c>
      <c r="F119">
        <v>6.16</v>
      </c>
      <c r="G119" s="1">
        <v>45200</v>
      </c>
      <c r="H119" t="s">
        <v>13</v>
      </c>
      <c r="I119" t="s">
        <v>14</v>
      </c>
    </row>
    <row r="120" spans="1:9" x14ac:dyDescent="0.2">
      <c r="A120">
        <v>320193</v>
      </c>
      <c r="B120" t="s">
        <v>98</v>
      </c>
      <c r="C120" t="s">
        <v>31</v>
      </c>
      <c r="D120" t="s">
        <v>32</v>
      </c>
      <c r="E120" t="s">
        <v>12</v>
      </c>
      <c r="F120">
        <v>6.16</v>
      </c>
      <c r="G120" s="1">
        <v>45200</v>
      </c>
      <c r="H120" t="s">
        <v>13</v>
      </c>
      <c r="I120" t="s">
        <v>14</v>
      </c>
    </row>
    <row r="121" spans="1:9" x14ac:dyDescent="0.2">
      <c r="A121">
        <v>320193</v>
      </c>
      <c r="B121" t="s">
        <v>98</v>
      </c>
      <c r="C121" t="s">
        <v>31</v>
      </c>
      <c r="D121" t="s">
        <v>32</v>
      </c>
      <c r="E121" t="s">
        <v>12</v>
      </c>
      <c r="F121">
        <v>6.16</v>
      </c>
      <c r="G121" s="1">
        <v>45200</v>
      </c>
      <c r="H121" t="s">
        <v>13</v>
      </c>
      <c r="I121" t="s">
        <v>14</v>
      </c>
    </row>
    <row r="122" spans="1:9" x14ac:dyDescent="0.2">
      <c r="A122">
        <v>320193</v>
      </c>
      <c r="B122" t="s">
        <v>101</v>
      </c>
      <c r="C122" t="s">
        <v>31</v>
      </c>
      <c r="D122" t="s">
        <v>32</v>
      </c>
      <c r="E122" t="s">
        <v>12</v>
      </c>
      <c r="F122">
        <v>6.16</v>
      </c>
      <c r="G122" s="1">
        <v>45200</v>
      </c>
      <c r="H122" t="s">
        <v>13</v>
      </c>
      <c r="I122" t="s">
        <v>14</v>
      </c>
    </row>
    <row r="123" spans="1:9" x14ac:dyDescent="0.2">
      <c r="A123">
        <v>320193</v>
      </c>
      <c r="B123" t="s">
        <v>101</v>
      </c>
      <c r="C123" t="s">
        <v>31</v>
      </c>
      <c r="D123" t="s">
        <v>32</v>
      </c>
      <c r="E123" t="s">
        <v>12</v>
      </c>
      <c r="F123">
        <v>6.16</v>
      </c>
      <c r="G123" s="1">
        <v>45200</v>
      </c>
      <c r="H123" t="s">
        <v>13</v>
      </c>
      <c r="I123" t="s">
        <v>14</v>
      </c>
    </row>
    <row r="124" spans="1:9" x14ac:dyDescent="0.2">
      <c r="A124">
        <v>320193</v>
      </c>
      <c r="B124" t="s">
        <v>88</v>
      </c>
      <c r="C124" t="s">
        <v>31</v>
      </c>
      <c r="D124" t="s">
        <v>32</v>
      </c>
      <c r="E124" t="s">
        <v>12</v>
      </c>
      <c r="F124">
        <v>6.11</v>
      </c>
      <c r="G124" s="1">
        <v>45564</v>
      </c>
      <c r="H124" t="s">
        <v>13</v>
      </c>
      <c r="I124" t="s">
        <v>14</v>
      </c>
    </row>
    <row r="125" spans="1:9" x14ac:dyDescent="0.2">
      <c r="A125">
        <v>320193</v>
      </c>
      <c r="B125" t="s">
        <v>88</v>
      </c>
      <c r="C125" t="s">
        <v>31</v>
      </c>
      <c r="D125" t="s">
        <v>32</v>
      </c>
      <c r="E125" t="s">
        <v>12</v>
      </c>
      <c r="F125">
        <v>6.11</v>
      </c>
      <c r="G125" s="1">
        <v>45564</v>
      </c>
      <c r="H125" t="s">
        <v>13</v>
      </c>
      <c r="I125" t="s">
        <v>14</v>
      </c>
    </row>
    <row r="126" spans="1:9" x14ac:dyDescent="0.2">
      <c r="A126">
        <v>320193</v>
      </c>
      <c r="B126" t="s">
        <v>98</v>
      </c>
      <c r="C126" t="s">
        <v>31</v>
      </c>
      <c r="D126" t="s">
        <v>32</v>
      </c>
      <c r="E126" t="s">
        <v>12</v>
      </c>
      <c r="F126">
        <v>6.11</v>
      </c>
      <c r="G126" s="1">
        <v>45564</v>
      </c>
      <c r="H126" t="s">
        <v>13</v>
      </c>
      <c r="I126" t="s">
        <v>14</v>
      </c>
    </row>
    <row r="127" spans="1:9" x14ac:dyDescent="0.2">
      <c r="A127">
        <v>320193</v>
      </c>
      <c r="B127" t="s">
        <v>98</v>
      </c>
      <c r="C127" t="s">
        <v>31</v>
      </c>
      <c r="D127" t="s">
        <v>32</v>
      </c>
      <c r="E127" t="s">
        <v>12</v>
      </c>
      <c r="F127">
        <v>6.11</v>
      </c>
      <c r="G127" s="1">
        <v>45564</v>
      </c>
      <c r="H127" t="s">
        <v>13</v>
      </c>
      <c r="I127" t="s">
        <v>14</v>
      </c>
    </row>
    <row r="128" spans="1:9" x14ac:dyDescent="0.2">
      <c r="A128">
        <v>320193</v>
      </c>
      <c r="B128" t="s">
        <v>88</v>
      </c>
      <c r="C128" t="s">
        <v>31</v>
      </c>
      <c r="D128" t="s">
        <v>32</v>
      </c>
      <c r="E128" t="s">
        <v>12</v>
      </c>
      <c r="F128">
        <v>7.49</v>
      </c>
      <c r="G128" s="1">
        <v>45928</v>
      </c>
      <c r="H128" t="s">
        <v>13</v>
      </c>
      <c r="I128" t="s">
        <v>14</v>
      </c>
    </row>
    <row r="129" spans="1:9" x14ac:dyDescent="0.2">
      <c r="A129">
        <v>320193</v>
      </c>
      <c r="B129" t="s">
        <v>88</v>
      </c>
      <c r="C129" t="s">
        <v>31</v>
      </c>
      <c r="D129" t="s">
        <v>32</v>
      </c>
      <c r="E129" t="s">
        <v>12</v>
      </c>
      <c r="F129">
        <v>7.49</v>
      </c>
      <c r="G129" s="1">
        <v>45928</v>
      </c>
      <c r="H129" t="s">
        <v>13</v>
      </c>
      <c r="I129" t="s">
        <v>14</v>
      </c>
    </row>
    <row r="130" spans="1:9" x14ac:dyDescent="0.2">
      <c r="A130">
        <v>320193</v>
      </c>
      <c r="B130" t="s">
        <v>9</v>
      </c>
      <c r="C130" t="s">
        <v>40</v>
      </c>
      <c r="D130" t="s">
        <v>38</v>
      </c>
      <c r="E130" t="s">
        <v>12</v>
      </c>
      <c r="F130">
        <v>25913000000</v>
      </c>
      <c r="G130" s="1">
        <v>43373</v>
      </c>
      <c r="H130" t="s">
        <v>13</v>
      </c>
      <c r="I130" t="s">
        <v>14</v>
      </c>
    </row>
    <row r="131" spans="1:9" x14ac:dyDescent="0.2">
      <c r="A131">
        <v>320193</v>
      </c>
      <c r="B131" t="s">
        <v>9</v>
      </c>
      <c r="C131" t="s">
        <v>40</v>
      </c>
      <c r="D131" t="s">
        <v>38</v>
      </c>
      <c r="E131" t="s">
        <v>12</v>
      </c>
      <c r="F131">
        <v>25913000000</v>
      </c>
      <c r="G131" s="1">
        <v>43373</v>
      </c>
      <c r="H131" t="s">
        <v>13</v>
      </c>
      <c r="I131" t="s">
        <v>14</v>
      </c>
    </row>
    <row r="132" spans="1:9" x14ac:dyDescent="0.2">
      <c r="A132">
        <v>320193</v>
      </c>
      <c r="B132" t="s">
        <v>9</v>
      </c>
      <c r="C132" t="s">
        <v>40</v>
      </c>
      <c r="D132" t="s">
        <v>38</v>
      </c>
      <c r="E132" t="s">
        <v>12</v>
      </c>
      <c r="F132">
        <v>48844000000</v>
      </c>
      <c r="G132" s="1">
        <v>43737</v>
      </c>
      <c r="H132" t="s">
        <v>13</v>
      </c>
      <c r="I132" t="s">
        <v>14</v>
      </c>
    </row>
    <row r="133" spans="1:9" x14ac:dyDescent="0.2">
      <c r="A133">
        <v>320193</v>
      </c>
      <c r="B133" t="s">
        <v>9</v>
      </c>
      <c r="C133" t="s">
        <v>40</v>
      </c>
      <c r="D133" t="s">
        <v>38</v>
      </c>
      <c r="E133" t="s">
        <v>12</v>
      </c>
      <c r="F133">
        <v>48844000000</v>
      </c>
      <c r="G133" s="1">
        <v>43737</v>
      </c>
      <c r="H133" t="s">
        <v>13</v>
      </c>
      <c r="I133" t="s">
        <v>14</v>
      </c>
    </row>
    <row r="134" spans="1:9" x14ac:dyDescent="0.2">
      <c r="A134">
        <v>320193</v>
      </c>
      <c r="B134" t="s">
        <v>9</v>
      </c>
      <c r="C134" t="s">
        <v>40</v>
      </c>
      <c r="D134" t="s">
        <v>38</v>
      </c>
      <c r="E134" t="s">
        <v>12</v>
      </c>
      <c r="F134">
        <v>48844000000</v>
      </c>
      <c r="G134" s="1">
        <v>43737</v>
      </c>
      <c r="H134" t="s">
        <v>13</v>
      </c>
      <c r="I134" t="s">
        <v>14</v>
      </c>
    </row>
    <row r="135" spans="1:9" x14ac:dyDescent="0.2">
      <c r="A135">
        <v>320193</v>
      </c>
      <c r="B135" t="s">
        <v>100</v>
      </c>
      <c r="C135" t="s">
        <v>40</v>
      </c>
      <c r="D135" t="s">
        <v>38</v>
      </c>
      <c r="E135" t="s">
        <v>12</v>
      </c>
      <c r="F135">
        <v>48844000000</v>
      </c>
      <c r="G135" s="1">
        <v>43737</v>
      </c>
      <c r="H135" t="s">
        <v>13</v>
      </c>
      <c r="I135" t="s">
        <v>14</v>
      </c>
    </row>
    <row r="136" spans="1:9" x14ac:dyDescent="0.2">
      <c r="A136">
        <v>320193</v>
      </c>
      <c r="B136" t="s">
        <v>100</v>
      </c>
      <c r="C136" t="s">
        <v>40</v>
      </c>
      <c r="D136" t="s">
        <v>38</v>
      </c>
      <c r="E136" t="s">
        <v>12</v>
      </c>
      <c r="F136">
        <v>48844000000</v>
      </c>
      <c r="G136" s="1">
        <v>43737</v>
      </c>
      <c r="H136" t="s">
        <v>13</v>
      </c>
      <c r="I136" t="s">
        <v>14</v>
      </c>
    </row>
    <row r="137" spans="1:9" x14ac:dyDescent="0.2">
      <c r="A137">
        <v>320193</v>
      </c>
      <c r="B137" t="s">
        <v>100</v>
      </c>
      <c r="C137" t="s">
        <v>40</v>
      </c>
      <c r="D137" t="s">
        <v>38</v>
      </c>
      <c r="E137" t="s">
        <v>12</v>
      </c>
      <c r="F137">
        <v>48844000000</v>
      </c>
      <c r="G137" s="1">
        <v>43737</v>
      </c>
      <c r="H137" t="s">
        <v>13</v>
      </c>
      <c r="I137" t="s">
        <v>14</v>
      </c>
    </row>
    <row r="138" spans="1:9" x14ac:dyDescent="0.2">
      <c r="A138">
        <v>320193</v>
      </c>
      <c r="B138" t="s">
        <v>99</v>
      </c>
      <c r="C138" t="s">
        <v>40</v>
      </c>
      <c r="D138" t="s">
        <v>38</v>
      </c>
      <c r="E138" t="s">
        <v>12</v>
      </c>
      <c r="F138">
        <v>38016000000</v>
      </c>
      <c r="G138" s="1">
        <v>44101</v>
      </c>
      <c r="H138" t="s">
        <v>13</v>
      </c>
      <c r="I138" t="s">
        <v>14</v>
      </c>
    </row>
    <row r="139" spans="1:9" x14ac:dyDescent="0.2">
      <c r="A139">
        <v>320193</v>
      </c>
      <c r="B139" t="s">
        <v>99</v>
      </c>
      <c r="C139" t="s">
        <v>40</v>
      </c>
      <c r="D139" t="s">
        <v>38</v>
      </c>
      <c r="E139" t="s">
        <v>12</v>
      </c>
      <c r="F139">
        <v>38016000000</v>
      </c>
      <c r="G139" s="1">
        <v>44101</v>
      </c>
      <c r="H139" t="s">
        <v>13</v>
      </c>
      <c r="I139" t="s">
        <v>14</v>
      </c>
    </row>
    <row r="140" spans="1:9" x14ac:dyDescent="0.2">
      <c r="A140">
        <v>320193</v>
      </c>
      <c r="B140" t="s">
        <v>100</v>
      </c>
      <c r="C140" t="s">
        <v>40</v>
      </c>
      <c r="D140" t="s">
        <v>38</v>
      </c>
      <c r="E140" t="s">
        <v>12</v>
      </c>
      <c r="F140">
        <v>38016000000</v>
      </c>
      <c r="G140" s="1">
        <v>44101</v>
      </c>
      <c r="H140" t="s">
        <v>13</v>
      </c>
      <c r="I140" t="s">
        <v>14</v>
      </c>
    </row>
    <row r="141" spans="1:9" x14ac:dyDescent="0.2">
      <c r="A141">
        <v>320193</v>
      </c>
      <c r="B141" t="s">
        <v>100</v>
      </c>
      <c r="C141" t="s">
        <v>40</v>
      </c>
      <c r="D141" t="s">
        <v>38</v>
      </c>
      <c r="E141" t="s">
        <v>12</v>
      </c>
      <c r="F141">
        <v>38016000000</v>
      </c>
      <c r="G141" s="1">
        <v>44101</v>
      </c>
      <c r="H141" t="s">
        <v>13</v>
      </c>
      <c r="I141" t="s">
        <v>14</v>
      </c>
    </row>
    <row r="142" spans="1:9" x14ac:dyDescent="0.2">
      <c r="A142">
        <v>320193</v>
      </c>
      <c r="B142" t="s">
        <v>100</v>
      </c>
      <c r="C142" t="s">
        <v>40</v>
      </c>
      <c r="D142" t="s">
        <v>38</v>
      </c>
      <c r="E142" t="s">
        <v>12</v>
      </c>
      <c r="F142">
        <v>38016000000</v>
      </c>
      <c r="G142" s="1">
        <v>44101</v>
      </c>
      <c r="H142" t="s">
        <v>13</v>
      </c>
      <c r="I142" t="s">
        <v>14</v>
      </c>
    </row>
    <row r="143" spans="1:9" x14ac:dyDescent="0.2">
      <c r="A143">
        <v>320193</v>
      </c>
      <c r="B143" t="s">
        <v>97</v>
      </c>
      <c r="C143" t="s">
        <v>40</v>
      </c>
      <c r="D143" t="s">
        <v>38</v>
      </c>
      <c r="E143" t="s">
        <v>12</v>
      </c>
      <c r="F143">
        <v>34940000000</v>
      </c>
      <c r="G143" s="1">
        <v>44465</v>
      </c>
      <c r="H143" t="s">
        <v>13</v>
      </c>
      <c r="I143" t="s">
        <v>14</v>
      </c>
    </row>
    <row r="144" spans="1:9" x14ac:dyDescent="0.2">
      <c r="A144">
        <v>320193</v>
      </c>
      <c r="B144" t="s">
        <v>97</v>
      </c>
      <c r="C144" t="s">
        <v>40</v>
      </c>
      <c r="D144" t="s">
        <v>38</v>
      </c>
      <c r="E144" t="s">
        <v>12</v>
      </c>
      <c r="F144">
        <v>34940000000</v>
      </c>
      <c r="G144" s="1">
        <v>44465</v>
      </c>
      <c r="H144" t="s">
        <v>13</v>
      </c>
      <c r="I144" t="s">
        <v>14</v>
      </c>
    </row>
    <row r="145" spans="1:9" x14ac:dyDescent="0.2">
      <c r="A145">
        <v>320193</v>
      </c>
      <c r="B145" t="s">
        <v>99</v>
      </c>
      <c r="C145" t="s">
        <v>40</v>
      </c>
      <c r="D145" t="s">
        <v>38</v>
      </c>
      <c r="E145" t="s">
        <v>12</v>
      </c>
      <c r="F145">
        <v>34940000000</v>
      </c>
      <c r="G145" s="1">
        <v>44465</v>
      </c>
      <c r="H145" t="s">
        <v>13</v>
      </c>
      <c r="I145" t="s">
        <v>14</v>
      </c>
    </row>
    <row r="146" spans="1:9" x14ac:dyDescent="0.2">
      <c r="A146">
        <v>320193</v>
      </c>
      <c r="B146" t="s">
        <v>99</v>
      </c>
      <c r="C146" t="s">
        <v>40</v>
      </c>
      <c r="D146" t="s">
        <v>38</v>
      </c>
      <c r="E146" t="s">
        <v>12</v>
      </c>
      <c r="F146">
        <v>34940000000</v>
      </c>
      <c r="G146" s="1">
        <v>44465</v>
      </c>
      <c r="H146" t="s">
        <v>13</v>
      </c>
      <c r="I146" t="s">
        <v>14</v>
      </c>
    </row>
    <row r="147" spans="1:9" x14ac:dyDescent="0.2">
      <c r="A147">
        <v>320193</v>
      </c>
      <c r="B147" t="s">
        <v>97</v>
      </c>
      <c r="C147" t="s">
        <v>40</v>
      </c>
      <c r="D147" t="s">
        <v>38</v>
      </c>
      <c r="E147" t="s">
        <v>12</v>
      </c>
      <c r="F147">
        <v>23646000000</v>
      </c>
      <c r="G147" s="1">
        <v>44829</v>
      </c>
      <c r="H147" t="s">
        <v>13</v>
      </c>
      <c r="I147" t="s">
        <v>14</v>
      </c>
    </row>
    <row r="148" spans="1:9" x14ac:dyDescent="0.2">
      <c r="A148">
        <v>320193</v>
      </c>
      <c r="B148" t="s">
        <v>97</v>
      </c>
      <c r="C148" t="s">
        <v>40</v>
      </c>
      <c r="D148" t="s">
        <v>38</v>
      </c>
      <c r="E148" t="s">
        <v>12</v>
      </c>
      <c r="F148">
        <v>23646000000</v>
      </c>
      <c r="G148" s="1">
        <v>44829</v>
      </c>
      <c r="H148" t="s">
        <v>13</v>
      </c>
      <c r="I148" t="s">
        <v>14</v>
      </c>
    </row>
    <row r="149" spans="1:9" x14ac:dyDescent="0.2">
      <c r="A149">
        <v>320193</v>
      </c>
      <c r="B149" t="s">
        <v>101</v>
      </c>
      <c r="C149" t="s">
        <v>40</v>
      </c>
      <c r="D149" t="s">
        <v>38</v>
      </c>
      <c r="E149" t="s">
        <v>12</v>
      </c>
      <c r="F149">
        <v>23646000000</v>
      </c>
      <c r="G149" s="1">
        <v>44829</v>
      </c>
      <c r="H149" t="s">
        <v>13</v>
      </c>
      <c r="I149" t="s">
        <v>14</v>
      </c>
    </row>
    <row r="150" spans="1:9" x14ac:dyDescent="0.2">
      <c r="A150">
        <v>320193</v>
      </c>
      <c r="B150" t="s">
        <v>101</v>
      </c>
      <c r="C150" t="s">
        <v>40</v>
      </c>
      <c r="D150" t="s">
        <v>38</v>
      </c>
      <c r="E150" t="s">
        <v>12</v>
      </c>
      <c r="F150">
        <v>23646000000</v>
      </c>
      <c r="G150" s="1">
        <v>44829</v>
      </c>
      <c r="H150" t="s">
        <v>13</v>
      </c>
      <c r="I150" t="s">
        <v>14</v>
      </c>
    </row>
    <row r="151" spans="1:9" x14ac:dyDescent="0.2">
      <c r="A151">
        <v>320193</v>
      </c>
      <c r="B151" t="s">
        <v>98</v>
      </c>
      <c r="C151" t="s">
        <v>40</v>
      </c>
      <c r="D151" t="s">
        <v>38</v>
      </c>
      <c r="E151" t="s">
        <v>12</v>
      </c>
      <c r="F151">
        <v>29965000000</v>
      </c>
      <c r="G151" s="1">
        <v>45200</v>
      </c>
      <c r="H151" t="s">
        <v>13</v>
      </c>
      <c r="I151" t="s">
        <v>14</v>
      </c>
    </row>
    <row r="152" spans="1:9" x14ac:dyDescent="0.2">
      <c r="A152">
        <v>320193</v>
      </c>
      <c r="B152" t="s">
        <v>98</v>
      </c>
      <c r="C152" t="s">
        <v>40</v>
      </c>
      <c r="D152" t="s">
        <v>38</v>
      </c>
      <c r="E152" t="s">
        <v>12</v>
      </c>
      <c r="F152">
        <v>29965000000</v>
      </c>
      <c r="G152" s="1">
        <v>45200</v>
      </c>
      <c r="H152" t="s">
        <v>13</v>
      </c>
      <c r="I152" t="s">
        <v>14</v>
      </c>
    </row>
    <row r="153" spans="1:9" x14ac:dyDescent="0.2">
      <c r="A153">
        <v>320193</v>
      </c>
      <c r="B153" t="s">
        <v>101</v>
      </c>
      <c r="C153" t="s">
        <v>40</v>
      </c>
      <c r="D153" t="s">
        <v>38</v>
      </c>
      <c r="E153" t="s">
        <v>12</v>
      </c>
      <c r="F153">
        <v>29965000000</v>
      </c>
      <c r="G153" s="1">
        <v>45200</v>
      </c>
      <c r="H153" t="s">
        <v>13</v>
      </c>
      <c r="I153" t="s">
        <v>14</v>
      </c>
    </row>
    <row r="154" spans="1:9" x14ac:dyDescent="0.2">
      <c r="A154">
        <v>320193</v>
      </c>
      <c r="B154" t="s">
        <v>101</v>
      </c>
      <c r="C154" t="s">
        <v>40</v>
      </c>
      <c r="D154" t="s">
        <v>38</v>
      </c>
      <c r="E154" t="s">
        <v>12</v>
      </c>
      <c r="F154">
        <v>29965000000</v>
      </c>
      <c r="G154" s="1">
        <v>45200</v>
      </c>
      <c r="H154" t="s">
        <v>13</v>
      </c>
      <c r="I154" t="s">
        <v>14</v>
      </c>
    </row>
    <row r="155" spans="1:9" x14ac:dyDescent="0.2">
      <c r="A155">
        <v>320193</v>
      </c>
      <c r="B155" t="s">
        <v>88</v>
      </c>
      <c r="C155" t="s">
        <v>40</v>
      </c>
      <c r="D155" t="s">
        <v>38</v>
      </c>
      <c r="E155" t="s">
        <v>12</v>
      </c>
      <c r="F155">
        <v>29943000000</v>
      </c>
      <c r="G155" s="1">
        <v>45564</v>
      </c>
      <c r="H155" t="s">
        <v>13</v>
      </c>
      <c r="I155" t="s">
        <v>14</v>
      </c>
    </row>
    <row r="156" spans="1:9" x14ac:dyDescent="0.2">
      <c r="A156">
        <v>320193</v>
      </c>
      <c r="B156" t="s">
        <v>88</v>
      </c>
      <c r="C156" t="s">
        <v>40</v>
      </c>
      <c r="D156" t="s">
        <v>38</v>
      </c>
      <c r="E156" t="s">
        <v>12</v>
      </c>
      <c r="F156">
        <v>29943000000</v>
      </c>
      <c r="G156" s="1">
        <v>45564</v>
      </c>
      <c r="H156" t="s">
        <v>13</v>
      </c>
      <c r="I156" t="s">
        <v>14</v>
      </c>
    </row>
    <row r="157" spans="1:9" x14ac:dyDescent="0.2">
      <c r="A157">
        <v>320193</v>
      </c>
      <c r="B157" t="s">
        <v>98</v>
      </c>
      <c r="C157" t="s">
        <v>40</v>
      </c>
      <c r="D157" t="s">
        <v>38</v>
      </c>
      <c r="E157" t="s">
        <v>12</v>
      </c>
      <c r="F157">
        <v>29943000000</v>
      </c>
      <c r="G157" s="1">
        <v>45564</v>
      </c>
      <c r="H157" t="s">
        <v>13</v>
      </c>
      <c r="I157" t="s">
        <v>14</v>
      </c>
    </row>
    <row r="158" spans="1:9" x14ac:dyDescent="0.2">
      <c r="A158">
        <v>320193</v>
      </c>
      <c r="B158" t="s">
        <v>98</v>
      </c>
      <c r="C158" t="s">
        <v>40</v>
      </c>
      <c r="D158" t="s">
        <v>38</v>
      </c>
      <c r="E158" t="s">
        <v>12</v>
      </c>
      <c r="F158">
        <v>29943000000</v>
      </c>
      <c r="G158" s="1">
        <v>45564</v>
      </c>
      <c r="H158" t="s">
        <v>13</v>
      </c>
      <c r="I158" t="s">
        <v>14</v>
      </c>
    </row>
    <row r="159" spans="1:9" x14ac:dyDescent="0.2">
      <c r="A159">
        <v>320193</v>
      </c>
      <c r="B159" t="s">
        <v>88</v>
      </c>
      <c r="C159" t="s">
        <v>40</v>
      </c>
      <c r="D159" t="s">
        <v>38</v>
      </c>
      <c r="E159" t="s">
        <v>12</v>
      </c>
      <c r="F159">
        <v>35934000000</v>
      </c>
      <c r="G159" s="1">
        <v>45928</v>
      </c>
      <c r="H159" t="s">
        <v>13</v>
      </c>
      <c r="I159" t="s">
        <v>14</v>
      </c>
    </row>
    <row r="160" spans="1:9" x14ac:dyDescent="0.2">
      <c r="A160">
        <v>320193</v>
      </c>
      <c r="B160" t="s">
        <v>88</v>
      </c>
      <c r="C160" t="s">
        <v>40</v>
      </c>
      <c r="D160" t="s">
        <v>38</v>
      </c>
      <c r="E160" t="s">
        <v>12</v>
      </c>
      <c r="F160">
        <v>35934000000</v>
      </c>
      <c r="G160" s="1">
        <v>45928</v>
      </c>
      <c r="H160" t="s">
        <v>13</v>
      </c>
      <c r="I160" t="s">
        <v>14</v>
      </c>
    </row>
    <row r="161" spans="1:9" x14ac:dyDescent="0.2">
      <c r="A161">
        <v>320193</v>
      </c>
      <c r="B161" t="s">
        <v>9</v>
      </c>
      <c r="C161" t="s">
        <v>74</v>
      </c>
      <c r="D161" t="s">
        <v>73</v>
      </c>
      <c r="E161" t="s">
        <v>12</v>
      </c>
      <c r="F161">
        <v>12451000000</v>
      </c>
      <c r="G161" s="1">
        <v>43009</v>
      </c>
      <c r="H161" t="s">
        <v>13</v>
      </c>
      <c r="I161" t="s">
        <v>14</v>
      </c>
    </row>
    <row r="162" spans="1:9" x14ac:dyDescent="0.2">
      <c r="A162">
        <v>320193</v>
      </c>
      <c r="B162" t="s">
        <v>9</v>
      </c>
      <c r="C162" t="s">
        <v>74</v>
      </c>
      <c r="D162" t="s">
        <v>73</v>
      </c>
      <c r="E162" t="s">
        <v>12</v>
      </c>
      <c r="F162">
        <v>13313000000</v>
      </c>
      <c r="G162" s="1">
        <v>43373</v>
      </c>
      <c r="H162" t="s">
        <v>13</v>
      </c>
      <c r="I162" t="s">
        <v>14</v>
      </c>
    </row>
    <row r="163" spans="1:9" x14ac:dyDescent="0.2">
      <c r="A163">
        <v>320193</v>
      </c>
      <c r="B163" t="s">
        <v>100</v>
      </c>
      <c r="C163" t="s">
        <v>74</v>
      </c>
      <c r="D163" t="s">
        <v>73</v>
      </c>
      <c r="E163" t="s">
        <v>12</v>
      </c>
      <c r="F163">
        <v>13313000000</v>
      </c>
      <c r="G163" s="1">
        <v>43373</v>
      </c>
      <c r="H163" t="s">
        <v>13</v>
      </c>
      <c r="I163" t="s">
        <v>14</v>
      </c>
    </row>
    <row r="164" spans="1:9" x14ac:dyDescent="0.2">
      <c r="A164">
        <v>320193</v>
      </c>
      <c r="B164" t="s">
        <v>9</v>
      </c>
      <c r="C164" t="s">
        <v>74</v>
      </c>
      <c r="D164" t="s">
        <v>73</v>
      </c>
      <c r="E164" t="s">
        <v>12</v>
      </c>
      <c r="F164">
        <v>10495000000</v>
      </c>
      <c r="G164" s="1">
        <v>43737</v>
      </c>
      <c r="H164" t="s">
        <v>13</v>
      </c>
      <c r="I164" t="s">
        <v>14</v>
      </c>
    </row>
    <row r="165" spans="1:9" x14ac:dyDescent="0.2">
      <c r="A165">
        <v>320193</v>
      </c>
      <c r="B165" t="s">
        <v>99</v>
      </c>
      <c r="C165" t="s">
        <v>74</v>
      </c>
      <c r="D165" t="s">
        <v>73</v>
      </c>
      <c r="E165" t="s">
        <v>12</v>
      </c>
      <c r="F165">
        <v>10495000000</v>
      </c>
      <c r="G165" s="1">
        <v>43737</v>
      </c>
      <c r="H165" t="s">
        <v>13</v>
      </c>
      <c r="I165" t="s">
        <v>14</v>
      </c>
    </row>
    <row r="166" spans="1:9" x14ac:dyDescent="0.2">
      <c r="A166">
        <v>320193</v>
      </c>
      <c r="B166" t="s">
        <v>100</v>
      </c>
      <c r="C166" t="s">
        <v>74</v>
      </c>
      <c r="D166" t="s">
        <v>73</v>
      </c>
      <c r="E166" t="s">
        <v>12</v>
      </c>
      <c r="F166">
        <v>10495000000</v>
      </c>
      <c r="G166" s="1">
        <v>43737</v>
      </c>
      <c r="H166" t="s">
        <v>13</v>
      </c>
      <c r="I166" t="s">
        <v>14</v>
      </c>
    </row>
    <row r="167" spans="1:9" x14ac:dyDescent="0.2">
      <c r="A167">
        <v>320193</v>
      </c>
      <c r="B167" t="s">
        <v>97</v>
      </c>
      <c r="C167" t="s">
        <v>74</v>
      </c>
      <c r="D167" t="s">
        <v>73</v>
      </c>
      <c r="E167" t="s">
        <v>12</v>
      </c>
      <c r="F167">
        <v>7309000000</v>
      </c>
      <c r="G167" s="1">
        <v>44101</v>
      </c>
      <c r="H167" t="s">
        <v>13</v>
      </c>
      <c r="I167" t="s">
        <v>14</v>
      </c>
    </row>
    <row r="168" spans="1:9" x14ac:dyDescent="0.2">
      <c r="A168">
        <v>320193</v>
      </c>
      <c r="B168" t="s">
        <v>99</v>
      </c>
      <c r="C168" t="s">
        <v>74</v>
      </c>
      <c r="D168" t="s">
        <v>73</v>
      </c>
      <c r="E168" t="s">
        <v>12</v>
      </c>
      <c r="F168">
        <v>7309000000</v>
      </c>
      <c r="G168" s="1">
        <v>44101</v>
      </c>
      <c r="H168" t="s">
        <v>13</v>
      </c>
      <c r="I168" t="s">
        <v>14</v>
      </c>
    </row>
    <row r="169" spans="1:9" x14ac:dyDescent="0.2">
      <c r="A169">
        <v>320193</v>
      </c>
      <c r="B169" t="s">
        <v>100</v>
      </c>
      <c r="C169" t="s">
        <v>74</v>
      </c>
      <c r="D169" t="s">
        <v>73</v>
      </c>
      <c r="E169" t="s">
        <v>12</v>
      </c>
      <c r="F169">
        <v>7309000000</v>
      </c>
      <c r="G169" s="1">
        <v>44101</v>
      </c>
      <c r="H169" t="s">
        <v>13</v>
      </c>
      <c r="I169" t="s">
        <v>14</v>
      </c>
    </row>
    <row r="170" spans="1:9" x14ac:dyDescent="0.2">
      <c r="A170">
        <v>320193</v>
      </c>
      <c r="B170" t="s">
        <v>97</v>
      </c>
      <c r="C170" t="s">
        <v>74</v>
      </c>
      <c r="D170" t="s">
        <v>73</v>
      </c>
      <c r="E170" t="s">
        <v>12</v>
      </c>
      <c r="F170">
        <v>11085000000</v>
      </c>
      <c r="G170" s="1">
        <v>44465</v>
      </c>
      <c r="H170" t="s">
        <v>13</v>
      </c>
      <c r="I170" t="s">
        <v>14</v>
      </c>
    </row>
    <row r="171" spans="1:9" x14ac:dyDescent="0.2">
      <c r="A171">
        <v>320193</v>
      </c>
      <c r="B171" t="s">
        <v>99</v>
      </c>
      <c r="C171" t="s">
        <v>74</v>
      </c>
      <c r="D171" t="s">
        <v>73</v>
      </c>
      <c r="E171" t="s">
        <v>12</v>
      </c>
      <c r="F171">
        <v>11085000000</v>
      </c>
      <c r="G171" s="1">
        <v>44465</v>
      </c>
      <c r="H171" t="s">
        <v>13</v>
      </c>
      <c r="I171" t="s">
        <v>14</v>
      </c>
    </row>
    <row r="172" spans="1:9" x14ac:dyDescent="0.2">
      <c r="A172">
        <v>320193</v>
      </c>
      <c r="B172" t="s">
        <v>101</v>
      </c>
      <c r="C172" t="s">
        <v>74</v>
      </c>
      <c r="D172" t="s">
        <v>73</v>
      </c>
      <c r="E172" t="s">
        <v>12</v>
      </c>
      <c r="F172">
        <v>11085000000</v>
      </c>
      <c r="G172" s="1">
        <v>44465</v>
      </c>
      <c r="H172" t="s">
        <v>13</v>
      </c>
      <c r="I172" t="s">
        <v>14</v>
      </c>
    </row>
    <row r="173" spans="1:9" x14ac:dyDescent="0.2">
      <c r="A173">
        <v>320193</v>
      </c>
      <c r="B173" t="s">
        <v>97</v>
      </c>
      <c r="C173" t="s">
        <v>74</v>
      </c>
      <c r="D173" t="s">
        <v>73</v>
      </c>
      <c r="E173" t="s">
        <v>12</v>
      </c>
      <c r="F173">
        <v>10708000000</v>
      </c>
      <c r="G173" s="1">
        <v>44829</v>
      </c>
      <c r="H173" t="s">
        <v>13</v>
      </c>
      <c r="I173" t="s">
        <v>14</v>
      </c>
    </row>
    <row r="174" spans="1:9" x14ac:dyDescent="0.2">
      <c r="A174">
        <v>320193</v>
      </c>
      <c r="B174" t="s">
        <v>98</v>
      </c>
      <c r="C174" t="s">
        <v>74</v>
      </c>
      <c r="D174" t="s">
        <v>73</v>
      </c>
      <c r="E174" t="s">
        <v>12</v>
      </c>
      <c r="F174">
        <v>10708000000</v>
      </c>
      <c r="G174" s="1">
        <v>44829</v>
      </c>
      <c r="H174" t="s">
        <v>13</v>
      </c>
      <c r="I174" t="s">
        <v>14</v>
      </c>
    </row>
    <row r="175" spans="1:9" x14ac:dyDescent="0.2">
      <c r="A175">
        <v>320193</v>
      </c>
      <c r="B175" t="s">
        <v>101</v>
      </c>
      <c r="C175" t="s">
        <v>74</v>
      </c>
      <c r="D175" t="s">
        <v>73</v>
      </c>
      <c r="E175" t="s">
        <v>12</v>
      </c>
      <c r="F175">
        <v>10708000000</v>
      </c>
      <c r="G175" s="1">
        <v>44829</v>
      </c>
      <c r="H175" t="s">
        <v>13</v>
      </c>
      <c r="I175" t="s">
        <v>14</v>
      </c>
    </row>
    <row r="176" spans="1:9" x14ac:dyDescent="0.2">
      <c r="A176">
        <v>320193</v>
      </c>
      <c r="B176" t="s">
        <v>88</v>
      </c>
      <c r="C176" t="s">
        <v>74</v>
      </c>
      <c r="D176" t="s">
        <v>73</v>
      </c>
      <c r="E176" t="s">
        <v>12</v>
      </c>
      <c r="F176">
        <v>10959000000</v>
      </c>
      <c r="G176" s="1">
        <v>45200</v>
      </c>
      <c r="H176" t="s">
        <v>13</v>
      </c>
      <c r="I176" t="s">
        <v>14</v>
      </c>
    </row>
    <row r="177" spans="1:9" x14ac:dyDescent="0.2">
      <c r="A177">
        <v>320193</v>
      </c>
      <c r="B177" t="s">
        <v>98</v>
      </c>
      <c r="C177" t="s">
        <v>74</v>
      </c>
      <c r="D177" t="s">
        <v>73</v>
      </c>
      <c r="E177" t="s">
        <v>12</v>
      </c>
      <c r="F177">
        <v>10959000000</v>
      </c>
      <c r="G177" s="1">
        <v>45200</v>
      </c>
      <c r="H177" t="s">
        <v>13</v>
      </c>
      <c r="I177" t="s">
        <v>14</v>
      </c>
    </row>
    <row r="178" spans="1:9" x14ac:dyDescent="0.2">
      <c r="A178">
        <v>320193</v>
      </c>
      <c r="B178" t="s">
        <v>101</v>
      </c>
      <c r="C178" t="s">
        <v>74</v>
      </c>
      <c r="D178" t="s">
        <v>73</v>
      </c>
      <c r="E178" t="s">
        <v>12</v>
      </c>
      <c r="F178">
        <v>10959000000</v>
      </c>
      <c r="G178" s="1">
        <v>45200</v>
      </c>
      <c r="H178" t="s">
        <v>13</v>
      </c>
      <c r="I178" t="s">
        <v>14</v>
      </c>
    </row>
    <row r="179" spans="1:9" x14ac:dyDescent="0.2">
      <c r="A179">
        <v>320193</v>
      </c>
      <c r="B179" t="s">
        <v>88</v>
      </c>
      <c r="C179" t="s">
        <v>74</v>
      </c>
      <c r="D179" t="s">
        <v>73</v>
      </c>
      <c r="E179" t="s">
        <v>12</v>
      </c>
      <c r="F179">
        <v>9447000000</v>
      </c>
      <c r="G179" s="1">
        <v>45564</v>
      </c>
      <c r="H179" t="s">
        <v>13</v>
      </c>
      <c r="I179" t="s">
        <v>14</v>
      </c>
    </row>
    <row r="180" spans="1:9" x14ac:dyDescent="0.2">
      <c r="A180">
        <v>320193</v>
      </c>
      <c r="B180" t="s">
        <v>98</v>
      </c>
      <c r="C180" t="s">
        <v>74</v>
      </c>
      <c r="D180" t="s">
        <v>73</v>
      </c>
      <c r="E180" t="s">
        <v>12</v>
      </c>
      <c r="F180">
        <v>9447000000</v>
      </c>
      <c r="G180" s="1">
        <v>45564</v>
      </c>
      <c r="H180" t="s">
        <v>13</v>
      </c>
      <c r="I180" t="s">
        <v>14</v>
      </c>
    </row>
    <row r="181" spans="1:9" x14ac:dyDescent="0.2">
      <c r="A181">
        <v>320193</v>
      </c>
      <c r="B181" t="s">
        <v>88</v>
      </c>
      <c r="C181" t="s">
        <v>74</v>
      </c>
      <c r="D181" t="s">
        <v>73</v>
      </c>
      <c r="E181" t="s">
        <v>12</v>
      </c>
      <c r="F181">
        <v>12715000000</v>
      </c>
      <c r="G181" s="1">
        <v>45928</v>
      </c>
      <c r="H181" t="s">
        <v>13</v>
      </c>
      <c r="I181" t="s">
        <v>14</v>
      </c>
    </row>
    <row r="182" spans="1:9" x14ac:dyDescent="0.2">
      <c r="A182">
        <v>320193</v>
      </c>
      <c r="B182" t="s">
        <v>9</v>
      </c>
      <c r="C182" t="s">
        <v>37</v>
      </c>
      <c r="D182" t="s">
        <v>38</v>
      </c>
      <c r="E182" t="s">
        <v>12</v>
      </c>
      <c r="F182">
        <v>25913000000</v>
      </c>
      <c r="G182" s="1">
        <v>43373</v>
      </c>
      <c r="H182" t="s">
        <v>13</v>
      </c>
      <c r="I182" t="s">
        <v>14</v>
      </c>
    </row>
    <row r="183" spans="1:9" x14ac:dyDescent="0.2">
      <c r="A183">
        <v>320193</v>
      </c>
      <c r="B183" t="s">
        <v>9</v>
      </c>
      <c r="C183" t="s">
        <v>37</v>
      </c>
      <c r="D183" t="s">
        <v>38</v>
      </c>
      <c r="E183" t="s">
        <v>12</v>
      </c>
      <c r="F183">
        <v>25913000000</v>
      </c>
      <c r="G183" s="1">
        <v>43373</v>
      </c>
      <c r="H183" t="s">
        <v>13</v>
      </c>
      <c r="I183" t="s">
        <v>14</v>
      </c>
    </row>
    <row r="184" spans="1:9" x14ac:dyDescent="0.2">
      <c r="A184">
        <v>320193</v>
      </c>
      <c r="B184" t="s">
        <v>9</v>
      </c>
      <c r="C184" t="s">
        <v>37</v>
      </c>
      <c r="D184" t="s">
        <v>38</v>
      </c>
      <c r="E184" t="s">
        <v>12</v>
      </c>
      <c r="F184">
        <v>48844000000</v>
      </c>
      <c r="G184" s="1">
        <v>43737</v>
      </c>
      <c r="H184" t="s">
        <v>13</v>
      </c>
      <c r="I184" t="s">
        <v>14</v>
      </c>
    </row>
    <row r="185" spans="1:9" x14ac:dyDescent="0.2">
      <c r="A185">
        <v>320193</v>
      </c>
      <c r="B185" t="s">
        <v>9</v>
      </c>
      <c r="C185" t="s">
        <v>37</v>
      </c>
      <c r="D185" t="s">
        <v>38</v>
      </c>
      <c r="E185" t="s">
        <v>12</v>
      </c>
      <c r="F185">
        <v>48844000000</v>
      </c>
      <c r="G185" s="1">
        <v>43737</v>
      </c>
      <c r="H185" t="s">
        <v>13</v>
      </c>
      <c r="I185" t="s">
        <v>14</v>
      </c>
    </row>
    <row r="186" spans="1:9" x14ac:dyDescent="0.2">
      <c r="A186">
        <v>320193</v>
      </c>
      <c r="B186" t="s">
        <v>9</v>
      </c>
      <c r="C186" t="s">
        <v>37</v>
      </c>
      <c r="D186" t="s">
        <v>38</v>
      </c>
      <c r="E186" t="s">
        <v>12</v>
      </c>
      <c r="F186">
        <v>48844000000</v>
      </c>
      <c r="G186" s="1">
        <v>43737</v>
      </c>
      <c r="H186" t="s">
        <v>13</v>
      </c>
      <c r="I186" t="s">
        <v>14</v>
      </c>
    </row>
    <row r="187" spans="1:9" x14ac:dyDescent="0.2">
      <c r="A187">
        <v>320193</v>
      </c>
      <c r="B187" t="s">
        <v>100</v>
      </c>
      <c r="C187" t="s">
        <v>37</v>
      </c>
      <c r="D187" t="s">
        <v>38</v>
      </c>
      <c r="E187" t="s">
        <v>12</v>
      </c>
      <c r="F187">
        <v>48844000000</v>
      </c>
      <c r="G187" s="1">
        <v>43737</v>
      </c>
      <c r="H187" t="s">
        <v>13</v>
      </c>
      <c r="I187" t="s">
        <v>14</v>
      </c>
    </row>
    <row r="188" spans="1:9" x14ac:dyDescent="0.2">
      <c r="A188">
        <v>320193</v>
      </c>
      <c r="B188" t="s">
        <v>100</v>
      </c>
      <c r="C188" t="s">
        <v>37</v>
      </c>
      <c r="D188" t="s">
        <v>38</v>
      </c>
      <c r="E188" t="s">
        <v>12</v>
      </c>
      <c r="F188">
        <v>48844000000</v>
      </c>
      <c r="G188" s="1">
        <v>43737</v>
      </c>
      <c r="H188" t="s">
        <v>13</v>
      </c>
      <c r="I188" t="s">
        <v>14</v>
      </c>
    </row>
    <row r="189" spans="1:9" x14ac:dyDescent="0.2">
      <c r="A189">
        <v>320193</v>
      </c>
      <c r="B189" t="s">
        <v>100</v>
      </c>
      <c r="C189" t="s">
        <v>37</v>
      </c>
      <c r="D189" t="s">
        <v>38</v>
      </c>
      <c r="E189" t="s">
        <v>12</v>
      </c>
      <c r="F189">
        <v>48844000000</v>
      </c>
      <c r="G189" s="1">
        <v>43737</v>
      </c>
      <c r="H189" t="s">
        <v>13</v>
      </c>
      <c r="I189" t="s">
        <v>14</v>
      </c>
    </row>
    <row r="190" spans="1:9" x14ac:dyDescent="0.2">
      <c r="A190">
        <v>320193</v>
      </c>
      <c r="B190" t="s">
        <v>99</v>
      </c>
      <c r="C190" t="s">
        <v>37</v>
      </c>
      <c r="D190" t="s">
        <v>38</v>
      </c>
      <c r="E190" t="s">
        <v>12</v>
      </c>
      <c r="F190">
        <v>38016000000</v>
      </c>
      <c r="G190" s="1">
        <v>44101</v>
      </c>
      <c r="H190" t="s">
        <v>13</v>
      </c>
      <c r="I190" t="s">
        <v>14</v>
      </c>
    </row>
    <row r="191" spans="1:9" x14ac:dyDescent="0.2">
      <c r="A191">
        <v>320193</v>
      </c>
      <c r="B191" t="s">
        <v>99</v>
      </c>
      <c r="C191" t="s">
        <v>37</v>
      </c>
      <c r="D191" t="s">
        <v>38</v>
      </c>
      <c r="E191" t="s">
        <v>12</v>
      </c>
      <c r="F191">
        <v>38016000000</v>
      </c>
      <c r="G191" s="1">
        <v>44101</v>
      </c>
      <c r="H191" t="s">
        <v>13</v>
      </c>
      <c r="I191" t="s">
        <v>14</v>
      </c>
    </row>
    <row r="192" spans="1:9" x14ac:dyDescent="0.2">
      <c r="A192">
        <v>320193</v>
      </c>
      <c r="B192" t="s">
        <v>100</v>
      </c>
      <c r="C192" t="s">
        <v>37</v>
      </c>
      <c r="D192" t="s">
        <v>38</v>
      </c>
      <c r="E192" t="s">
        <v>12</v>
      </c>
      <c r="F192">
        <v>38016000000</v>
      </c>
      <c r="G192" s="1">
        <v>44101</v>
      </c>
      <c r="H192" t="s">
        <v>13</v>
      </c>
      <c r="I192" t="s">
        <v>14</v>
      </c>
    </row>
    <row r="193" spans="1:9" x14ac:dyDescent="0.2">
      <c r="A193">
        <v>320193</v>
      </c>
      <c r="B193" t="s">
        <v>100</v>
      </c>
      <c r="C193" t="s">
        <v>37</v>
      </c>
      <c r="D193" t="s">
        <v>38</v>
      </c>
      <c r="E193" t="s">
        <v>12</v>
      </c>
      <c r="F193">
        <v>38016000000</v>
      </c>
      <c r="G193" s="1">
        <v>44101</v>
      </c>
      <c r="H193" t="s">
        <v>13</v>
      </c>
      <c r="I193" t="s">
        <v>14</v>
      </c>
    </row>
    <row r="194" spans="1:9" x14ac:dyDescent="0.2">
      <c r="A194">
        <v>320193</v>
      </c>
      <c r="B194" t="s">
        <v>100</v>
      </c>
      <c r="C194" t="s">
        <v>37</v>
      </c>
      <c r="D194" t="s">
        <v>38</v>
      </c>
      <c r="E194" t="s">
        <v>12</v>
      </c>
      <c r="F194">
        <v>38016000000</v>
      </c>
      <c r="G194" s="1">
        <v>44101</v>
      </c>
      <c r="H194" t="s">
        <v>13</v>
      </c>
      <c r="I194" t="s">
        <v>14</v>
      </c>
    </row>
    <row r="195" spans="1:9" x14ac:dyDescent="0.2">
      <c r="A195">
        <v>320193</v>
      </c>
      <c r="B195" t="s">
        <v>97</v>
      </c>
      <c r="C195" t="s">
        <v>37</v>
      </c>
      <c r="D195" t="s">
        <v>38</v>
      </c>
      <c r="E195" t="s">
        <v>12</v>
      </c>
      <c r="F195">
        <v>34940000000</v>
      </c>
      <c r="G195" s="1">
        <v>44465</v>
      </c>
      <c r="H195" t="s">
        <v>13</v>
      </c>
      <c r="I195" t="s">
        <v>14</v>
      </c>
    </row>
    <row r="196" spans="1:9" x14ac:dyDescent="0.2">
      <c r="A196">
        <v>320193</v>
      </c>
      <c r="B196" t="s">
        <v>97</v>
      </c>
      <c r="C196" t="s">
        <v>37</v>
      </c>
      <c r="D196" t="s">
        <v>38</v>
      </c>
      <c r="E196" t="s">
        <v>12</v>
      </c>
      <c r="F196">
        <v>34940000000</v>
      </c>
      <c r="G196" s="1">
        <v>44465</v>
      </c>
      <c r="H196" t="s">
        <v>13</v>
      </c>
      <c r="I196" t="s">
        <v>14</v>
      </c>
    </row>
    <row r="197" spans="1:9" x14ac:dyDescent="0.2">
      <c r="A197">
        <v>320193</v>
      </c>
      <c r="B197" t="s">
        <v>99</v>
      </c>
      <c r="C197" t="s">
        <v>37</v>
      </c>
      <c r="D197" t="s">
        <v>38</v>
      </c>
      <c r="E197" t="s">
        <v>12</v>
      </c>
      <c r="F197">
        <v>34940000000</v>
      </c>
      <c r="G197" s="1">
        <v>44465</v>
      </c>
      <c r="H197" t="s">
        <v>13</v>
      </c>
      <c r="I197" t="s">
        <v>14</v>
      </c>
    </row>
    <row r="198" spans="1:9" x14ac:dyDescent="0.2">
      <c r="A198">
        <v>320193</v>
      </c>
      <c r="B198" t="s">
        <v>99</v>
      </c>
      <c r="C198" t="s">
        <v>37</v>
      </c>
      <c r="D198" t="s">
        <v>38</v>
      </c>
      <c r="E198" t="s">
        <v>12</v>
      </c>
      <c r="F198">
        <v>34940000000</v>
      </c>
      <c r="G198" s="1">
        <v>44465</v>
      </c>
      <c r="H198" t="s">
        <v>13</v>
      </c>
      <c r="I198" t="s">
        <v>14</v>
      </c>
    </row>
    <row r="199" spans="1:9" x14ac:dyDescent="0.2">
      <c r="A199">
        <v>320193</v>
      </c>
      <c r="B199" t="s">
        <v>97</v>
      </c>
      <c r="C199" t="s">
        <v>37</v>
      </c>
      <c r="D199" t="s">
        <v>38</v>
      </c>
      <c r="E199" t="s">
        <v>12</v>
      </c>
      <c r="F199">
        <v>23646000000</v>
      </c>
      <c r="G199" s="1">
        <v>44829</v>
      </c>
      <c r="H199" t="s">
        <v>13</v>
      </c>
      <c r="I199" t="s">
        <v>14</v>
      </c>
    </row>
    <row r="200" spans="1:9" x14ac:dyDescent="0.2">
      <c r="A200">
        <v>320193</v>
      </c>
      <c r="B200" t="s">
        <v>97</v>
      </c>
      <c r="C200" t="s">
        <v>37</v>
      </c>
      <c r="D200" t="s">
        <v>38</v>
      </c>
      <c r="E200" t="s">
        <v>12</v>
      </c>
      <c r="F200">
        <v>23646000000</v>
      </c>
      <c r="G200" s="1">
        <v>44829</v>
      </c>
      <c r="H200" t="s">
        <v>13</v>
      </c>
      <c r="I200" t="s">
        <v>14</v>
      </c>
    </row>
    <row r="201" spans="1:9" x14ac:dyDescent="0.2">
      <c r="A201">
        <v>320193</v>
      </c>
      <c r="B201" t="s">
        <v>101</v>
      </c>
      <c r="C201" t="s">
        <v>37</v>
      </c>
      <c r="D201" t="s">
        <v>38</v>
      </c>
      <c r="E201" t="s">
        <v>12</v>
      </c>
      <c r="F201">
        <v>23646000000</v>
      </c>
      <c r="G201" s="1">
        <v>44829</v>
      </c>
      <c r="H201" t="s">
        <v>13</v>
      </c>
      <c r="I201" t="s">
        <v>14</v>
      </c>
    </row>
    <row r="202" spans="1:9" x14ac:dyDescent="0.2">
      <c r="A202">
        <v>320193</v>
      </c>
      <c r="B202" t="s">
        <v>101</v>
      </c>
      <c r="C202" t="s">
        <v>37</v>
      </c>
      <c r="D202" t="s">
        <v>38</v>
      </c>
      <c r="E202" t="s">
        <v>12</v>
      </c>
      <c r="F202">
        <v>23646000000</v>
      </c>
      <c r="G202" s="1">
        <v>44829</v>
      </c>
      <c r="H202" t="s">
        <v>13</v>
      </c>
      <c r="I202" t="s">
        <v>14</v>
      </c>
    </row>
    <row r="203" spans="1:9" x14ac:dyDescent="0.2">
      <c r="A203">
        <v>320193</v>
      </c>
      <c r="B203" t="s">
        <v>98</v>
      </c>
      <c r="C203" t="s">
        <v>37</v>
      </c>
      <c r="D203" t="s">
        <v>38</v>
      </c>
      <c r="E203" t="s">
        <v>12</v>
      </c>
      <c r="F203">
        <v>29965000000</v>
      </c>
      <c r="G203" s="1">
        <v>45200</v>
      </c>
      <c r="H203" t="s">
        <v>13</v>
      </c>
      <c r="I203" t="s">
        <v>14</v>
      </c>
    </row>
    <row r="204" spans="1:9" x14ac:dyDescent="0.2">
      <c r="A204">
        <v>320193</v>
      </c>
      <c r="B204" t="s">
        <v>98</v>
      </c>
      <c r="C204" t="s">
        <v>37</v>
      </c>
      <c r="D204" t="s">
        <v>38</v>
      </c>
      <c r="E204" t="s">
        <v>12</v>
      </c>
      <c r="F204">
        <v>29965000000</v>
      </c>
      <c r="G204" s="1">
        <v>45200</v>
      </c>
      <c r="H204" t="s">
        <v>13</v>
      </c>
      <c r="I204" t="s">
        <v>14</v>
      </c>
    </row>
    <row r="205" spans="1:9" x14ac:dyDescent="0.2">
      <c r="A205">
        <v>320193</v>
      </c>
      <c r="B205" t="s">
        <v>101</v>
      </c>
      <c r="C205" t="s">
        <v>37</v>
      </c>
      <c r="D205" t="s">
        <v>38</v>
      </c>
      <c r="E205" t="s">
        <v>12</v>
      </c>
      <c r="F205">
        <v>29965000000</v>
      </c>
      <c r="G205" s="1">
        <v>45200</v>
      </c>
      <c r="H205" t="s">
        <v>13</v>
      </c>
      <c r="I205" t="s">
        <v>14</v>
      </c>
    </row>
    <row r="206" spans="1:9" x14ac:dyDescent="0.2">
      <c r="A206">
        <v>320193</v>
      </c>
      <c r="B206" t="s">
        <v>101</v>
      </c>
      <c r="C206" t="s">
        <v>37</v>
      </c>
      <c r="D206" t="s">
        <v>38</v>
      </c>
      <c r="E206" t="s">
        <v>12</v>
      </c>
      <c r="F206">
        <v>29965000000</v>
      </c>
      <c r="G206" s="1">
        <v>45200</v>
      </c>
      <c r="H206" t="s">
        <v>13</v>
      </c>
      <c r="I206" t="s">
        <v>14</v>
      </c>
    </row>
    <row r="207" spans="1:9" x14ac:dyDescent="0.2">
      <c r="A207">
        <v>320193</v>
      </c>
      <c r="B207" t="s">
        <v>88</v>
      </c>
      <c r="C207" t="s">
        <v>37</v>
      </c>
      <c r="D207" t="s">
        <v>38</v>
      </c>
      <c r="E207" t="s">
        <v>12</v>
      </c>
      <c r="F207">
        <v>29943000000</v>
      </c>
      <c r="G207" s="1">
        <v>45564</v>
      </c>
      <c r="H207" t="s">
        <v>13</v>
      </c>
      <c r="I207" t="s">
        <v>14</v>
      </c>
    </row>
    <row r="208" spans="1:9" x14ac:dyDescent="0.2">
      <c r="A208">
        <v>320193</v>
      </c>
      <c r="B208" t="s">
        <v>88</v>
      </c>
      <c r="C208" t="s">
        <v>37</v>
      </c>
      <c r="D208" t="s">
        <v>38</v>
      </c>
      <c r="E208" t="s">
        <v>12</v>
      </c>
      <c r="F208">
        <v>29943000000</v>
      </c>
      <c r="G208" s="1">
        <v>45564</v>
      </c>
      <c r="H208" t="s">
        <v>13</v>
      </c>
      <c r="I208" t="s">
        <v>14</v>
      </c>
    </row>
    <row r="209" spans="1:9" x14ac:dyDescent="0.2">
      <c r="A209">
        <v>320193</v>
      </c>
      <c r="B209" t="s">
        <v>98</v>
      </c>
      <c r="C209" t="s">
        <v>37</v>
      </c>
      <c r="D209" t="s">
        <v>38</v>
      </c>
      <c r="E209" t="s">
        <v>12</v>
      </c>
      <c r="F209">
        <v>29943000000</v>
      </c>
      <c r="G209" s="1">
        <v>45564</v>
      </c>
      <c r="H209" t="s">
        <v>13</v>
      </c>
      <c r="I209" t="s">
        <v>14</v>
      </c>
    </row>
    <row r="210" spans="1:9" x14ac:dyDescent="0.2">
      <c r="A210">
        <v>320193</v>
      </c>
      <c r="B210" t="s">
        <v>98</v>
      </c>
      <c r="C210" t="s">
        <v>37</v>
      </c>
      <c r="D210" t="s">
        <v>38</v>
      </c>
      <c r="E210" t="s">
        <v>12</v>
      </c>
      <c r="F210">
        <v>29943000000</v>
      </c>
      <c r="G210" s="1">
        <v>45564</v>
      </c>
      <c r="H210" t="s">
        <v>13</v>
      </c>
      <c r="I210" t="s">
        <v>14</v>
      </c>
    </row>
    <row r="211" spans="1:9" x14ac:dyDescent="0.2">
      <c r="A211">
        <v>320193</v>
      </c>
      <c r="B211" t="s">
        <v>88</v>
      </c>
      <c r="C211" t="s">
        <v>37</v>
      </c>
      <c r="D211" t="s">
        <v>38</v>
      </c>
      <c r="E211" t="s">
        <v>12</v>
      </c>
      <c r="F211">
        <v>35934000000</v>
      </c>
      <c r="G211" s="1">
        <v>45928</v>
      </c>
      <c r="H211" t="s">
        <v>13</v>
      </c>
      <c r="I211" t="s">
        <v>14</v>
      </c>
    </row>
    <row r="212" spans="1:9" x14ac:dyDescent="0.2">
      <c r="A212">
        <v>320193</v>
      </c>
      <c r="B212" t="s">
        <v>88</v>
      </c>
      <c r="C212" t="s">
        <v>37</v>
      </c>
      <c r="D212" t="s">
        <v>38</v>
      </c>
      <c r="E212" t="s">
        <v>12</v>
      </c>
      <c r="F212">
        <v>35934000000</v>
      </c>
      <c r="G212" s="1">
        <v>45928</v>
      </c>
      <c r="H212" t="s">
        <v>13</v>
      </c>
      <c r="I212" t="s">
        <v>14</v>
      </c>
    </row>
    <row r="213" spans="1:9" x14ac:dyDescent="0.2">
      <c r="A213">
        <v>320193</v>
      </c>
      <c r="B213" t="s">
        <v>9</v>
      </c>
      <c r="C213" t="s">
        <v>78</v>
      </c>
      <c r="D213" t="s">
        <v>79</v>
      </c>
      <c r="E213" t="s">
        <v>12</v>
      </c>
      <c r="F213">
        <v>12769000000</v>
      </c>
      <c r="G213" s="1">
        <v>43009</v>
      </c>
      <c r="H213" t="s">
        <v>13</v>
      </c>
      <c r="I213" t="s">
        <v>14</v>
      </c>
    </row>
    <row r="214" spans="1:9" x14ac:dyDescent="0.2">
      <c r="A214">
        <v>320193</v>
      </c>
      <c r="B214" t="s">
        <v>9</v>
      </c>
      <c r="C214" t="s">
        <v>78</v>
      </c>
      <c r="D214" t="s">
        <v>79</v>
      </c>
      <c r="E214" t="s">
        <v>12</v>
      </c>
      <c r="F214">
        <v>13712000000</v>
      </c>
      <c r="G214" s="1">
        <v>43373</v>
      </c>
      <c r="H214" t="s">
        <v>13</v>
      </c>
      <c r="I214" t="s">
        <v>14</v>
      </c>
    </row>
    <row r="215" spans="1:9" x14ac:dyDescent="0.2">
      <c r="A215">
        <v>320193</v>
      </c>
      <c r="B215" t="s">
        <v>100</v>
      </c>
      <c r="C215" t="s">
        <v>78</v>
      </c>
      <c r="D215" t="s">
        <v>79</v>
      </c>
      <c r="E215" t="s">
        <v>12</v>
      </c>
      <c r="F215">
        <v>13712000000</v>
      </c>
      <c r="G215" s="1">
        <v>43373</v>
      </c>
      <c r="H215" t="s">
        <v>13</v>
      </c>
      <c r="I215" t="s">
        <v>14</v>
      </c>
    </row>
    <row r="216" spans="1:9" x14ac:dyDescent="0.2">
      <c r="A216">
        <v>320193</v>
      </c>
      <c r="B216" t="s">
        <v>9</v>
      </c>
      <c r="C216" t="s">
        <v>78</v>
      </c>
      <c r="D216" t="s">
        <v>79</v>
      </c>
      <c r="E216" t="s">
        <v>12</v>
      </c>
      <c r="F216">
        <v>14119000000</v>
      </c>
      <c r="G216" s="1">
        <v>43737</v>
      </c>
      <c r="H216" t="s">
        <v>13</v>
      </c>
      <c r="I216" t="s">
        <v>14</v>
      </c>
    </row>
    <row r="217" spans="1:9" x14ac:dyDescent="0.2">
      <c r="A217">
        <v>320193</v>
      </c>
      <c r="B217" t="s">
        <v>99</v>
      </c>
      <c r="C217" t="s">
        <v>78</v>
      </c>
      <c r="D217" t="s">
        <v>79</v>
      </c>
      <c r="E217" t="s">
        <v>12</v>
      </c>
      <c r="F217">
        <v>14119000000</v>
      </c>
      <c r="G217" s="1">
        <v>43737</v>
      </c>
      <c r="H217" t="s">
        <v>13</v>
      </c>
      <c r="I217" t="s">
        <v>14</v>
      </c>
    </row>
    <row r="218" spans="1:9" x14ac:dyDescent="0.2">
      <c r="A218">
        <v>320193</v>
      </c>
      <c r="B218" t="s">
        <v>100</v>
      </c>
      <c r="C218" t="s">
        <v>78</v>
      </c>
      <c r="D218" t="s">
        <v>79</v>
      </c>
      <c r="E218" t="s">
        <v>12</v>
      </c>
      <c r="F218">
        <v>14119000000</v>
      </c>
      <c r="G218" s="1">
        <v>43737</v>
      </c>
      <c r="H218" t="s">
        <v>13</v>
      </c>
      <c r="I218" t="s">
        <v>14</v>
      </c>
    </row>
    <row r="219" spans="1:9" x14ac:dyDescent="0.2">
      <c r="A219">
        <v>320193</v>
      </c>
      <c r="B219" t="s">
        <v>97</v>
      </c>
      <c r="C219" t="s">
        <v>78</v>
      </c>
      <c r="D219" t="s">
        <v>79</v>
      </c>
      <c r="E219" t="s">
        <v>12</v>
      </c>
      <c r="F219">
        <v>14081000000</v>
      </c>
      <c r="G219" s="1">
        <v>44101</v>
      </c>
      <c r="H219" t="s">
        <v>13</v>
      </c>
      <c r="I219" t="s">
        <v>14</v>
      </c>
    </row>
    <row r="220" spans="1:9" x14ac:dyDescent="0.2">
      <c r="A220">
        <v>320193</v>
      </c>
      <c r="B220" t="s">
        <v>99</v>
      </c>
      <c r="C220" t="s">
        <v>78</v>
      </c>
      <c r="D220" t="s">
        <v>79</v>
      </c>
      <c r="E220" t="s">
        <v>12</v>
      </c>
      <c r="F220">
        <v>14081000000</v>
      </c>
      <c r="G220" s="1">
        <v>44101</v>
      </c>
      <c r="H220" t="s">
        <v>13</v>
      </c>
      <c r="I220" t="s">
        <v>14</v>
      </c>
    </row>
    <row r="221" spans="1:9" x14ac:dyDescent="0.2">
      <c r="A221">
        <v>320193</v>
      </c>
      <c r="B221" t="s">
        <v>100</v>
      </c>
      <c r="C221" t="s">
        <v>78</v>
      </c>
      <c r="D221" t="s">
        <v>79</v>
      </c>
      <c r="E221" t="s">
        <v>12</v>
      </c>
      <c r="F221">
        <v>14081000000</v>
      </c>
      <c r="G221" s="1">
        <v>44101</v>
      </c>
      <c r="H221" t="s">
        <v>13</v>
      </c>
      <c r="I221" t="s">
        <v>14</v>
      </c>
    </row>
    <row r="222" spans="1:9" x14ac:dyDescent="0.2">
      <c r="A222">
        <v>320193</v>
      </c>
      <c r="B222" t="s">
        <v>97</v>
      </c>
      <c r="C222" t="s">
        <v>78</v>
      </c>
      <c r="D222" t="s">
        <v>79</v>
      </c>
      <c r="E222" t="s">
        <v>12</v>
      </c>
      <c r="F222">
        <v>14467000000</v>
      </c>
      <c r="G222" s="1">
        <v>44465</v>
      </c>
      <c r="H222" t="s">
        <v>13</v>
      </c>
      <c r="I222" t="s">
        <v>14</v>
      </c>
    </row>
    <row r="223" spans="1:9" x14ac:dyDescent="0.2">
      <c r="A223">
        <v>320193</v>
      </c>
      <c r="B223" t="s">
        <v>99</v>
      </c>
      <c r="C223" t="s">
        <v>78</v>
      </c>
      <c r="D223" t="s">
        <v>79</v>
      </c>
      <c r="E223" t="s">
        <v>12</v>
      </c>
      <c r="F223">
        <v>14467000000</v>
      </c>
      <c r="G223" s="1">
        <v>44465</v>
      </c>
      <c r="H223" t="s">
        <v>13</v>
      </c>
      <c r="I223" t="s">
        <v>14</v>
      </c>
    </row>
    <row r="224" spans="1:9" x14ac:dyDescent="0.2">
      <c r="A224">
        <v>320193</v>
      </c>
      <c r="B224" t="s">
        <v>101</v>
      </c>
      <c r="C224" t="s">
        <v>78</v>
      </c>
      <c r="D224" t="s">
        <v>79</v>
      </c>
      <c r="E224" t="s">
        <v>12</v>
      </c>
      <c r="F224">
        <v>14467000000</v>
      </c>
      <c r="G224" s="1">
        <v>44465</v>
      </c>
      <c r="H224" t="s">
        <v>13</v>
      </c>
      <c r="I224" t="s">
        <v>14</v>
      </c>
    </row>
    <row r="225" spans="1:9" x14ac:dyDescent="0.2">
      <c r="A225">
        <v>320193</v>
      </c>
      <c r="B225" t="s">
        <v>97</v>
      </c>
      <c r="C225" t="s">
        <v>78</v>
      </c>
      <c r="D225" t="s">
        <v>79</v>
      </c>
      <c r="E225" t="s">
        <v>12</v>
      </c>
      <c r="F225">
        <v>14841000000</v>
      </c>
      <c r="G225" s="1">
        <v>44829</v>
      </c>
      <c r="H225" t="s">
        <v>13</v>
      </c>
      <c r="I225" t="s">
        <v>14</v>
      </c>
    </row>
    <row r="226" spans="1:9" x14ac:dyDescent="0.2">
      <c r="A226">
        <v>320193</v>
      </c>
      <c r="B226" t="s">
        <v>98</v>
      </c>
      <c r="C226" t="s">
        <v>78</v>
      </c>
      <c r="D226" t="s">
        <v>79</v>
      </c>
      <c r="E226" t="s">
        <v>12</v>
      </c>
      <c r="F226">
        <v>14841000000</v>
      </c>
      <c r="G226" s="1">
        <v>44829</v>
      </c>
      <c r="H226" t="s">
        <v>13</v>
      </c>
      <c r="I226" t="s">
        <v>14</v>
      </c>
    </row>
    <row r="227" spans="1:9" x14ac:dyDescent="0.2">
      <c r="A227">
        <v>320193</v>
      </c>
      <c r="B227" t="s">
        <v>101</v>
      </c>
      <c r="C227" t="s">
        <v>78</v>
      </c>
      <c r="D227" t="s">
        <v>79</v>
      </c>
      <c r="E227" t="s">
        <v>12</v>
      </c>
      <c r="F227">
        <v>14841000000</v>
      </c>
      <c r="G227" s="1">
        <v>44829</v>
      </c>
      <c r="H227" t="s">
        <v>13</v>
      </c>
      <c r="I227" t="s">
        <v>14</v>
      </c>
    </row>
    <row r="228" spans="1:9" x14ac:dyDescent="0.2">
      <c r="A228">
        <v>320193</v>
      </c>
      <c r="B228" t="s">
        <v>88</v>
      </c>
      <c r="C228" t="s">
        <v>78</v>
      </c>
      <c r="D228" t="s">
        <v>79</v>
      </c>
      <c r="E228" t="s">
        <v>12</v>
      </c>
      <c r="F228">
        <v>15025000000</v>
      </c>
      <c r="G228" s="1">
        <v>45200</v>
      </c>
      <c r="H228" t="s">
        <v>13</v>
      </c>
      <c r="I228" t="s">
        <v>14</v>
      </c>
    </row>
    <row r="229" spans="1:9" x14ac:dyDescent="0.2">
      <c r="A229">
        <v>320193</v>
      </c>
      <c r="B229" t="s">
        <v>98</v>
      </c>
      <c r="C229" t="s">
        <v>78</v>
      </c>
      <c r="D229" t="s">
        <v>79</v>
      </c>
      <c r="E229" t="s">
        <v>12</v>
      </c>
      <c r="F229">
        <v>15025000000</v>
      </c>
      <c r="G229" s="1">
        <v>45200</v>
      </c>
      <c r="H229" t="s">
        <v>13</v>
      </c>
      <c r="I229" t="s">
        <v>14</v>
      </c>
    </row>
    <row r="230" spans="1:9" x14ac:dyDescent="0.2">
      <c r="A230">
        <v>320193</v>
      </c>
      <c r="B230" t="s">
        <v>101</v>
      </c>
      <c r="C230" t="s">
        <v>78</v>
      </c>
      <c r="D230" t="s">
        <v>79</v>
      </c>
      <c r="E230" t="s">
        <v>12</v>
      </c>
      <c r="F230">
        <v>15025000000</v>
      </c>
      <c r="G230" s="1">
        <v>45200</v>
      </c>
      <c r="H230" t="s">
        <v>13</v>
      </c>
      <c r="I230" t="s">
        <v>14</v>
      </c>
    </row>
    <row r="231" spans="1:9" x14ac:dyDescent="0.2">
      <c r="A231">
        <v>320193</v>
      </c>
      <c r="B231" t="s">
        <v>88</v>
      </c>
      <c r="C231" t="s">
        <v>78</v>
      </c>
      <c r="D231" t="s">
        <v>79</v>
      </c>
      <c r="E231" t="s">
        <v>12</v>
      </c>
      <c r="F231">
        <v>15234000000</v>
      </c>
      <c r="G231" s="1">
        <v>45564</v>
      </c>
      <c r="H231" t="s">
        <v>13</v>
      </c>
      <c r="I231" t="s">
        <v>14</v>
      </c>
    </row>
    <row r="232" spans="1:9" x14ac:dyDescent="0.2">
      <c r="A232">
        <v>320193</v>
      </c>
      <c r="B232" t="s">
        <v>98</v>
      </c>
      <c r="C232" t="s">
        <v>78</v>
      </c>
      <c r="D232" t="s">
        <v>79</v>
      </c>
      <c r="E232" t="s">
        <v>12</v>
      </c>
      <c r="F232">
        <v>15234000000</v>
      </c>
      <c r="G232" s="1">
        <v>45564</v>
      </c>
      <c r="H232" t="s">
        <v>13</v>
      </c>
      <c r="I232" t="s">
        <v>14</v>
      </c>
    </row>
    <row r="233" spans="1:9" x14ac:dyDescent="0.2">
      <c r="A233">
        <v>320193</v>
      </c>
      <c r="B233" t="s">
        <v>88</v>
      </c>
      <c r="C233" t="s">
        <v>78</v>
      </c>
      <c r="D233" t="s">
        <v>79</v>
      </c>
      <c r="E233" t="s">
        <v>12</v>
      </c>
      <c r="F233">
        <v>15421000000</v>
      </c>
      <c r="G233" s="1">
        <v>45928</v>
      </c>
      <c r="H233" t="s">
        <v>13</v>
      </c>
      <c r="I233" t="s">
        <v>14</v>
      </c>
    </row>
    <row r="234" spans="1:9" x14ac:dyDescent="0.2">
      <c r="A234">
        <v>320193</v>
      </c>
      <c r="B234" t="s">
        <v>9</v>
      </c>
      <c r="C234" t="s">
        <v>53</v>
      </c>
      <c r="D234" t="s">
        <v>54</v>
      </c>
      <c r="E234" t="s">
        <v>12</v>
      </c>
      <c r="F234">
        <v>11964000000</v>
      </c>
      <c r="G234" s="1">
        <v>43373</v>
      </c>
      <c r="H234" t="s">
        <v>13</v>
      </c>
      <c r="I234" t="s">
        <v>14</v>
      </c>
    </row>
    <row r="235" spans="1:9" x14ac:dyDescent="0.2">
      <c r="A235">
        <v>320193</v>
      </c>
      <c r="B235" t="s">
        <v>9</v>
      </c>
      <c r="C235" t="s">
        <v>53</v>
      </c>
      <c r="D235" t="s">
        <v>54</v>
      </c>
      <c r="E235" t="s">
        <v>12</v>
      </c>
      <c r="F235">
        <v>12000000000</v>
      </c>
      <c r="G235" s="1">
        <v>43373</v>
      </c>
      <c r="H235" t="s">
        <v>13</v>
      </c>
      <c r="I235" t="s">
        <v>14</v>
      </c>
    </row>
    <row r="236" spans="1:9" x14ac:dyDescent="0.2">
      <c r="A236">
        <v>320193</v>
      </c>
      <c r="B236" t="s">
        <v>9</v>
      </c>
      <c r="C236" t="s">
        <v>53</v>
      </c>
      <c r="D236" t="s">
        <v>54</v>
      </c>
      <c r="E236" t="s">
        <v>12</v>
      </c>
      <c r="F236">
        <v>5980000000</v>
      </c>
      <c r="G236" s="1">
        <v>43737</v>
      </c>
      <c r="H236" t="s">
        <v>13</v>
      </c>
      <c r="I236" t="s">
        <v>14</v>
      </c>
    </row>
    <row r="237" spans="1:9" x14ac:dyDescent="0.2">
      <c r="A237">
        <v>320193</v>
      </c>
      <c r="B237" t="s">
        <v>9</v>
      </c>
      <c r="C237" t="s">
        <v>53</v>
      </c>
      <c r="D237" t="s">
        <v>54</v>
      </c>
      <c r="E237" t="s">
        <v>12</v>
      </c>
      <c r="F237">
        <v>6000000000</v>
      </c>
      <c r="G237" s="1">
        <v>43737</v>
      </c>
      <c r="H237" t="s">
        <v>13</v>
      </c>
      <c r="I237" t="s">
        <v>14</v>
      </c>
    </row>
    <row r="238" spans="1:9" x14ac:dyDescent="0.2">
      <c r="A238">
        <v>320193</v>
      </c>
      <c r="B238" t="s">
        <v>100</v>
      </c>
      <c r="C238" t="s">
        <v>53</v>
      </c>
      <c r="D238" t="s">
        <v>54</v>
      </c>
      <c r="E238" t="s">
        <v>12</v>
      </c>
      <c r="F238">
        <v>5980000000</v>
      </c>
      <c r="G238" s="1">
        <v>43737</v>
      </c>
      <c r="H238" t="s">
        <v>13</v>
      </c>
      <c r="I238" t="s">
        <v>14</v>
      </c>
    </row>
    <row r="239" spans="1:9" x14ac:dyDescent="0.2">
      <c r="A239">
        <v>320193</v>
      </c>
      <c r="B239" t="s">
        <v>100</v>
      </c>
      <c r="C239" t="s">
        <v>53</v>
      </c>
      <c r="D239" t="s">
        <v>54</v>
      </c>
      <c r="E239" t="s">
        <v>12</v>
      </c>
      <c r="F239">
        <v>6000000000</v>
      </c>
      <c r="G239" s="1">
        <v>43737</v>
      </c>
      <c r="H239" t="s">
        <v>13</v>
      </c>
      <c r="I239" t="s">
        <v>14</v>
      </c>
    </row>
    <row r="240" spans="1:9" x14ac:dyDescent="0.2">
      <c r="A240">
        <v>320193</v>
      </c>
      <c r="B240" t="s">
        <v>99</v>
      </c>
      <c r="C240" t="s">
        <v>53</v>
      </c>
      <c r="D240" t="s">
        <v>54</v>
      </c>
      <c r="E240" t="s">
        <v>12</v>
      </c>
      <c r="F240">
        <v>4996000000</v>
      </c>
      <c r="G240" s="1">
        <v>44101</v>
      </c>
      <c r="H240" t="s">
        <v>13</v>
      </c>
      <c r="I240" t="s">
        <v>14</v>
      </c>
    </row>
    <row r="241" spans="1:9" x14ac:dyDescent="0.2">
      <c r="A241">
        <v>320193</v>
      </c>
      <c r="B241" t="s">
        <v>100</v>
      </c>
      <c r="C241" t="s">
        <v>53</v>
      </c>
      <c r="D241" t="s">
        <v>54</v>
      </c>
      <c r="E241" t="s">
        <v>12</v>
      </c>
      <c r="F241">
        <v>4996000000</v>
      </c>
      <c r="G241" s="1">
        <v>44101</v>
      </c>
      <c r="H241" t="s">
        <v>13</v>
      </c>
      <c r="I241" t="s">
        <v>14</v>
      </c>
    </row>
    <row r="242" spans="1:9" x14ac:dyDescent="0.2">
      <c r="A242">
        <v>320193</v>
      </c>
      <c r="B242" t="s">
        <v>100</v>
      </c>
      <c r="C242" t="s">
        <v>53</v>
      </c>
      <c r="D242" t="s">
        <v>54</v>
      </c>
      <c r="E242" t="s">
        <v>12</v>
      </c>
      <c r="F242">
        <v>5000000000</v>
      </c>
      <c r="G242" s="1">
        <v>44101</v>
      </c>
      <c r="H242" t="s">
        <v>13</v>
      </c>
      <c r="I242" t="s">
        <v>14</v>
      </c>
    </row>
    <row r="243" spans="1:9" x14ac:dyDescent="0.2">
      <c r="A243">
        <v>320193</v>
      </c>
      <c r="B243" t="s">
        <v>97</v>
      </c>
      <c r="C243" t="s">
        <v>53</v>
      </c>
      <c r="D243" t="s">
        <v>54</v>
      </c>
      <c r="E243" t="s">
        <v>12</v>
      </c>
      <c r="F243">
        <v>6000000000</v>
      </c>
      <c r="G243" s="1">
        <v>44465</v>
      </c>
      <c r="H243" t="s">
        <v>13</v>
      </c>
      <c r="I243" t="s">
        <v>14</v>
      </c>
    </row>
    <row r="244" spans="1:9" x14ac:dyDescent="0.2">
      <c r="A244">
        <v>320193</v>
      </c>
      <c r="B244" t="s">
        <v>99</v>
      </c>
      <c r="C244" t="s">
        <v>53</v>
      </c>
      <c r="D244" t="s">
        <v>54</v>
      </c>
      <c r="E244" t="s">
        <v>12</v>
      </c>
      <c r="F244">
        <v>6000000000</v>
      </c>
      <c r="G244" s="1">
        <v>44465</v>
      </c>
      <c r="H244" t="s">
        <v>13</v>
      </c>
      <c r="I244" t="s">
        <v>14</v>
      </c>
    </row>
    <row r="245" spans="1:9" x14ac:dyDescent="0.2">
      <c r="A245">
        <v>320193</v>
      </c>
      <c r="B245" t="s">
        <v>97</v>
      </c>
      <c r="C245" t="s">
        <v>53</v>
      </c>
      <c r="D245" t="s">
        <v>54</v>
      </c>
      <c r="E245" t="s">
        <v>12</v>
      </c>
      <c r="F245">
        <v>9982000000</v>
      </c>
      <c r="G245" s="1">
        <v>44829</v>
      </c>
      <c r="H245" t="s">
        <v>13</v>
      </c>
      <c r="I245" t="s">
        <v>14</v>
      </c>
    </row>
    <row r="246" spans="1:9" x14ac:dyDescent="0.2">
      <c r="A246">
        <v>320193</v>
      </c>
      <c r="B246" t="s">
        <v>101</v>
      </c>
      <c r="C246" t="s">
        <v>53</v>
      </c>
      <c r="D246" t="s">
        <v>54</v>
      </c>
      <c r="E246" t="s">
        <v>12</v>
      </c>
      <c r="F246">
        <v>9982000000</v>
      </c>
      <c r="G246" s="1">
        <v>44829</v>
      </c>
      <c r="H246" t="s">
        <v>13</v>
      </c>
      <c r="I246" t="s">
        <v>14</v>
      </c>
    </row>
    <row r="247" spans="1:9" x14ac:dyDescent="0.2">
      <c r="A247">
        <v>320193</v>
      </c>
      <c r="B247" t="s">
        <v>98</v>
      </c>
      <c r="C247" t="s">
        <v>53</v>
      </c>
      <c r="D247" t="s">
        <v>54</v>
      </c>
      <c r="E247" t="s">
        <v>12</v>
      </c>
      <c r="F247">
        <v>5985000000</v>
      </c>
      <c r="G247" s="1">
        <v>45200</v>
      </c>
      <c r="H247" t="s">
        <v>13</v>
      </c>
      <c r="I247" t="s">
        <v>14</v>
      </c>
    </row>
    <row r="248" spans="1:9" x14ac:dyDescent="0.2">
      <c r="A248">
        <v>320193</v>
      </c>
      <c r="B248" t="s">
        <v>101</v>
      </c>
      <c r="C248" t="s">
        <v>53</v>
      </c>
      <c r="D248" t="s">
        <v>54</v>
      </c>
      <c r="E248" t="s">
        <v>12</v>
      </c>
      <c r="F248">
        <v>5985000000</v>
      </c>
      <c r="G248" s="1">
        <v>45200</v>
      </c>
      <c r="H248" t="s">
        <v>13</v>
      </c>
      <c r="I248" t="s">
        <v>14</v>
      </c>
    </row>
    <row r="249" spans="1:9" x14ac:dyDescent="0.2">
      <c r="A249">
        <v>320193</v>
      </c>
      <c r="B249" t="s">
        <v>88</v>
      </c>
      <c r="C249" t="s">
        <v>53</v>
      </c>
      <c r="D249" t="s">
        <v>54</v>
      </c>
      <c r="E249" t="s">
        <v>12</v>
      </c>
      <c r="F249">
        <v>9967000000</v>
      </c>
      <c r="G249" s="1">
        <v>45564</v>
      </c>
      <c r="H249" t="s">
        <v>13</v>
      </c>
      <c r="I249" t="s">
        <v>14</v>
      </c>
    </row>
    <row r="250" spans="1:9" x14ac:dyDescent="0.2">
      <c r="A250">
        <v>320193</v>
      </c>
      <c r="B250" t="s">
        <v>98</v>
      </c>
      <c r="C250" t="s">
        <v>53</v>
      </c>
      <c r="D250" t="s">
        <v>54</v>
      </c>
      <c r="E250" t="s">
        <v>12</v>
      </c>
      <c r="F250">
        <v>9967000000</v>
      </c>
      <c r="G250" s="1">
        <v>45564</v>
      </c>
      <c r="H250" t="s">
        <v>13</v>
      </c>
      <c r="I250" t="s">
        <v>14</v>
      </c>
    </row>
    <row r="251" spans="1:9" x14ac:dyDescent="0.2">
      <c r="A251">
        <v>320193</v>
      </c>
      <c r="B251" t="s">
        <v>88</v>
      </c>
      <c r="C251" t="s">
        <v>53</v>
      </c>
      <c r="D251" t="s">
        <v>54</v>
      </c>
      <c r="E251" t="s">
        <v>12</v>
      </c>
      <c r="F251">
        <v>7979000000</v>
      </c>
      <c r="G251" s="1">
        <v>45928</v>
      </c>
      <c r="H251" t="s">
        <v>13</v>
      </c>
      <c r="I251" t="s">
        <v>14</v>
      </c>
    </row>
    <row r="252" spans="1:9" x14ac:dyDescent="0.2">
      <c r="A252">
        <v>320193</v>
      </c>
      <c r="B252" t="s">
        <v>9</v>
      </c>
      <c r="C252" t="s">
        <v>63</v>
      </c>
      <c r="D252" t="s">
        <v>64</v>
      </c>
      <c r="E252" t="s">
        <v>12</v>
      </c>
      <c r="F252">
        <v>128249000000</v>
      </c>
      <c r="G252" s="1">
        <v>42638</v>
      </c>
      <c r="H252" t="s">
        <v>13</v>
      </c>
      <c r="I252" t="s">
        <v>14</v>
      </c>
    </row>
    <row r="253" spans="1:9" x14ac:dyDescent="0.2">
      <c r="A253">
        <v>320193</v>
      </c>
      <c r="B253" t="s">
        <v>9</v>
      </c>
      <c r="C253" t="s">
        <v>63</v>
      </c>
      <c r="D253" t="s">
        <v>64</v>
      </c>
      <c r="E253" t="s">
        <v>12</v>
      </c>
      <c r="F253">
        <v>134047000000</v>
      </c>
      <c r="G253" s="1">
        <v>43009</v>
      </c>
      <c r="H253" t="s">
        <v>13</v>
      </c>
      <c r="I253" t="s">
        <v>14</v>
      </c>
    </row>
    <row r="254" spans="1:9" x14ac:dyDescent="0.2">
      <c r="A254">
        <v>320193</v>
      </c>
      <c r="B254" t="s">
        <v>9</v>
      </c>
      <c r="C254" t="s">
        <v>63</v>
      </c>
      <c r="D254" t="s">
        <v>64</v>
      </c>
      <c r="E254" t="s">
        <v>12</v>
      </c>
      <c r="F254">
        <v>134047000000</v>
      </c>
      <c r="G254" s="1">
        <v>43009</v>
      </c>
      <c r="H254" t="s">
        <v>13</v>
      </c>
      <c r="I254" t="s">
        <v>14</v>
      </c>
    </row>
    <row r="255" spans="1:9" x14ac:dyDescent="0.2">
      <c r="A255">
        <v>320193</v>
      </c>
      <c r="B255" t="s">
        <v>100</v>
      </c>
      <c r="C255" t="s">
        <v>63</v>
      </c>
      <c r="D255" t="s">
        <v>64</v>
      </c>
      <c r="E255" t="s">
        <v>12</v>
      </c>
      <c r="F255">
        <v>134047000000</v>
      </c>
      <c r="G255" s="1">
        <v>43009</v>
      </c>
      <c r="H255" t="s">
        <v>13</v>
      </c>
      <c r="I255" t="s">
        <v>14</v>
      </c>
    </row>
    <row r="256" spans="1:9" x14ac:dyDescent="0.2">
      <c r="A256">
        <v>320193</v>
      </c>
      <c r="B256" t="s">
        <v>9</v>
      </c>
      <c r="C256" t="s">
        <v>63</v>
      </c>
      <c r="D256" t="s">
        <v>64</v>
      </c>
      <c r="E256" t="s">
        <v>12</v>
      </c>
      <c r="F256">
        <v>107147000000</v>
      </c>
      <c r="G256" s="1">
        <v>43373</v>
      </c>
      <c r="H256" t="s">
        <v>13</v>
      </c>
      <c r="I256" t="s">
        <v>14</v>
      </c>
    </row>
    <row r="257" spans="1:9" x14ac:dyDescent="0.2">
      <c r="A257">
        <v>320193</v>
      </c>
      <c r="B257" t="s">
        <v>9</v>
      </c>
      <c r="C257" t="s">
        <v>63</v>
      </c>
      <c r="D257" t="s">
        <v>64</v>
      </c>
      <c r="E257" t="s">
        <v>12</v>
      </c>
      <c r="F257">
        <v>107147000000</v>
      </c>
      <c r="G257" s="1">
        <v>43373</v>
      </c>
      <c r="H257" t="s">
        <v>13</v>
      </c>
      <c r="I257" t="s">
        <v>14</v>
      </c>
    </row>
    <row r="258" spans="1:9" x14ac:dyDescent="0.2">
      <c r="A258">
        <v>320193</v>
      </c>
      <c r="B258" t="s">
        <v>9</v>
      </c>
      <c r="C258" t="s">
        <v>63</v>
      </c>
      <c r="D258" t="s">
        <v>64</v>
      </c>
      <c r="E258" t="s">
        <v>12</v>
      </c>
      <c r="F258">
        <v>107147000000</v>
      </c>
      <c r="G258" s="1">
        <v>43373</v>
      </c>
      <c r="H258" t="s">
        <v>13</v>
      </c>
      <c r="I258" t="s">
        <v>14</v>
      </c>
    </row>
    <row r="259" spans="1:9" x14ac:dyDescent="0.2">
      <c r="A259">
        <v>320193</v>
      </c>
      <c r="B259" t="s">
        <v>99</v>
      </c>
      <c r="C259" t="s">
        <v>63</v>
      </c>
      <c r="D259" t="s">
        <v>64</v>
      </c>
      <c r="E259" t="s">
        <v>12</v>
      </c>
      <c r="F259">
        <v>107147000000</v>
      </c>
      <c r="G259" s="1">
        <v>43373</v>
      </c>
      <c r="H259" t="s">
        <v>13</v>
      </c>
      <c r="I259" t="s">
        <v>14</v>
      </c>
    </row>
    <row r="260" spans="1:9" x14ac:dyDescent="0.2">
      <c r="A260">
        <v>320193</v>
      </c>
      <c r="B260" t="s">
        <v>100</v>
      </c>
      <c r="C260" t="s">
        <v>63</v>
      </c>
      <c r="D260" t="s">
        <v>64</v>
      </c>
      <c r="E260" t="s">
        <v>12</v>
      </c>
      <c r="F260">
        <v>107147000000</v>
      </c>
      <c r="G260" s="1">
        <v>43373</v>
      </c>
      <c r="H260" t="s">
        <v>13</v>
      </c>
      <c r="I260" t="s">
        <v>14</v>
      </c>
    </row>
    <row r="261" spans="1:9" x14ac:dyDescent="0.2">
      <c r="A261">
        <v>320193</v>
      </c>
      <c r="B261" t="s">
        <v>100</v>
      </c>
      <c r="C261" t="s">
        <v>63</v>
      </c>
      <c r="D261" t="s">
        <v>64</v>
      </c>
      <c r="E261" t="s">
        <v>12</v>
      </c>
      <c r="F261">
        <v>107147000000</v>
      </c>
      <c r="G261" s="1">
        <v>43373</v>
      </c>
      <c r="H261" t="s">
        <v>13</v>
      </c>
      <c r="I261" t="s">
        <v>14</v>
      </c>
    </row>
    <row r="262" spans="1:9" x14ac:dyDescent="0.2">
      <c r="A262">
        <v>320193</v>
      </c>
      <c r="B262" t="s">
        <v>9</v>
      </c>
      <c r="C262" t="s">
        <v>63</v>
      </c>
      <c r="D262" t="s">
        <v>64</v>
      </c>
      <c r="E262" t="s">
        <v>12</v>
      </c>
      <c r="F262">
        <v>90488000000</v>
      </c>
      <c r="G262" s="1">
        <v>43737</v>
      </c>
      <c r="H262" t="s">
        <v>13</v>
      </c>
      <c r="I262" t="s">
        <v>14</v>
      </c>
    </row>
    <row r="263" spans="1:9" x14ac:dyDescent="0.2">
      <c r="A263">
        <v>320193</v>
      </c>
      <c r="B263" t="s">
        <v>9</v>
      </c>
      <c r="C263" t="s">
        <v>63</v>
      </c>
      <c r="D263" t="s">
        <v>64</v>
      </c>
      <c r="E263" t="s">
        <v>12</v>
      </c>
      <c r="F263">
        <v>90488000000</v>
      </c>
      <c r="G263" s="1">
        <v>43737</v>
      </c>
      <c r="H263" t="s">
        <v>13</v>
      </c>
      <c r="I263" t="s">
        <v>14</v>
      </c>
    </row>
    <row r="264" spans="1:9" x14ac:dyDescent="0.2">
      <c r="A264">
        <v>320193</v>
      </c>
      <c r="B264" t="s">
        <v>97</v>
      </c>
      <c r="C264" t="s">
        <v>63</v>
      </c>
      <c r="D264" t="s">
        <v>64</v>
      </c>
      <c r="E264" t="s">
        <v>12</v>
      </c>
      <c r="F264">
        <v>90488000000</v>
      </c>
      <c r="G264" s="1">
        <v>43737</v>
      </c>
      <c r="H264" t="s">
        <v>13</v>
      </c>
      <c r="I264" t="s">
        <v>14</v>
      </c>
    </row>
    <row r="265" spans="1:9" x14ac:dyDescent="0.2">
      <c r="A265">
        <v>320193</v>
      </c>
      <c r="B265" t="s">
        <v>99</v>
      </c>
      <c r="C265" t="s">
        <v>63</v>
      </c>
      <c r="D265" t="s">
        <v>64</v>
      </c>
      <c r="E265" t="s">
        <v>12</v>
      </c>
      <c r="F265">
        <v>90488000000</v>
      </c>
      <c r="G265" s="1">
        <v>43737</v>
      </c>
      <c r="H265" t="s">
        <v>13</v>
      </c>
      <c r="I265" t="s">
        <v>14</v>
      </c>
    </row>
    <row r="266" spans="1:9" x14ac:dyDescent="0.2">
      <c r="A266">
        <v>320193</v>
      </c>
      <c r="B266" t="s">
        <v>99</v>
      </c>
      <c r="C266" t="s">
        <v>63</v>
      </c>
      <c r="D266" t="s">
        <v>64</v>
      </c>
      <c r="E266" t="s">
        <v>12</v>
      </c>
      <c r="F266">
        <v>90488000000</v>
      </c>
      <c r="G266" s="1">
        <v>43737</v>
      </c>
      <c r="H266" t="s">
        <v>13</v>
      </c>
      <c r="I266" t="s">
        <v>14</v>
      </c>
    </row>
    <row r="267" spans="1:9" x14ac:dyDescent="0.2">
      <c r="A267">
        <v>320193</v>
      </c>
      <c r="B267" t="s">
        <v>100</v>
      </c>
      <c r="C267" t="s">
        <v>63</v>
      </c>
      <c r="D267" t="s">
        <v>64</v>
      </c>
      <c r="E267" t="s">
        <v>12</v>
      </c>
      <c r="F267">
        <v>90488000000</v>
      </c>
      <c r="G267" s="1">
        <v>43737</v>
      </c>
      <c r="H267" t="s">
        <v>13</v>
      </c>
      <c r="I267" t="s">
        <v>14</v>
      </c>
    </row>
    <row r="268" spans="1:9" x14ac:dyDescent="0.2">
      <c r="A268">
        <v>320193</v>
      </c>
      <c r="B268" t="s">
        <v>100</v>
      </c>
      <c r="C268" t="s">
        <v>63</v>
      </c>
      <c r="D268" t="s">
        <v>64</v>
      </c>
      <c r="E268" t="s">
        <v>12</v>
      </c>
      <c r="F268">
        <v>90488000000</v>
      </c>
      <c r="G268" s="1">
        <v>43737</v>
      </c>
      <c r="H268" t="s">
        <v>13</v>
      </c>
      <c r="I268" t="s">
        <v>14</v>
      </c>
    </row>
    <row r="269" spans="1:9" x14ac:dyDescent="0.2">
      <c r="A269">
        <v>320193</v>
      </c>
      <c r="B269" t="s">
        <v>100</v>
      </c>
      <c r="C269" t="s">
        <v>63</v>
      </c>
      <c r="D269" t="s">
        <v>64</v>
      </c>
      <c r="E269" t="s">
        <v>12</v>
      </c>
      <c r="F269">
        <v>90488000000</v>
      </c>
      <c r="G269" s="1">
        <v>43737</v>
      </c>
      <c r="H269" t="s">
        <v>13</v>
      </c>
      <c r="I269" t="s">
        <v>14</v>
      </c>
    </row>
    <row r="270" spans="1:9" x14ac:dyDescent="0.2">
      <c r="A270">
        <v>320193</v>
      </c>
      <c r="B270" t="s">
        <v>97</v>
      </c>
      <c r="C270" t="s">
        <v>63</v>
      </c>
      <c r="D270" t="s">
        <v>64</v>
      </c>
      <c r="E270" t="s">
        <v>12</v>
      </c>
      <c r="F270">
        <v>65339000000</v>
      </c>
      <c r="G270" s="1">
        <v>44101</v>
      </c>
      <c r="H270" t="s">
        <v>13</v>
      </c>
      <c r="I270" t="s">
        <v>14</v>
      </c>
    </row>
    <row r="271" spans="1:9" x14ac:dyDescent="0.2">
      <c r="A271">
        <v>320193</v>
      </c>
      <c r="B271" t="s">
        <v>97</v>
      </c>
      <c r="C271" t="s">
        <v>63</v>
      </c>
      <c r="D271" t="s">
        <v>64</v>
      </c>
      <c r="E271" t="s">
        <v>12</v>
      </c>
      <c r="F271">
        <v>65339000000</v>
      </c>
      <c r="G271" s="1">
        <v>44101</v>
      </c>
      <c r="H271" t="s">
        <v>13</v>
      </c>
      <c r="I271" t="s">
        <v>14</v>
      </c>
    </row>
    <row r="272" spans="1:9" x14ac:dyDescent="0.2">
      <c r="A272">
        <v>320193</v>
      </c>
      <c r="B272" t="s">
        <v>99</v>
      </c>
      <c r="C272" t="s">
        <v>63</v>
      </c>
      <c r="D272" t="s">
        <v>64</v>
      </c>
      <c r="E272" t="s">
        <v>12</v>
      </c>
      <c r="F272">
        <v>65339000000</v>
      </c>
      <c r="G272" s="1">
        <v>44101</v>
      </c>
      <c r="H272" t="s">
        <v>13</v>
      </c>
      <c r="I272" t="s">
        <v>14</v>
      </c>
    </row>
    <row r="273" spans="1:9" x14ac:dyDescent="0.2">
      <c r="A273">
        <v>320193</v>
      </c>
      <c r="B273" t="s">
        <v>99</v>
      </c>
      <c r="C273" t="s">
        <v>63</v>
      </c>
      <c r="D273" t="s">
        <v>64</v>
      </c>
      <c r="E273" t="s">
        <v>12</v>
      </c>
      <c r="F273">
        <v>65339000000</v>
      </c>
      <c r="G273" s="1">
        <v>44101</v>
      </c>
      <c r="H273" t="s">
        <v>13</v>
      </c>
      <c r="I273" t="s">
        <v>14</v>
      </c>
    </row>
    <row r="274" spans="1:9" x14ac:dyDescent="0.2">
      <c r="A274">
        <v>320193</v>
      </c>
      <c r="B274" t="s">
        <v>99</v>
      </c>
      <c r="C274" t="s">
        <v>63</v>
      </c>
      <c r="D274" t="s">
        <v>64</v>
      </c>
      <c r="E274" t="s">
        <v>12</v>
      </c>
      <c r="F274">
        <v>65339000000</v>
      </c>
      <c r="G274" s="1">
        <v>44101</v>
      </c>
      <c r="H274" t="s">
        <v>13</v>
      </c>
      <c r="I274" t="s">
        <v>14</v>
      </c>
    </row>
    <row r="275" spans="1:9" x14ac:dyDescent="0.2">
      <c r="A275">
        <v>320193</v>
      </c>
      <c r="B275" t="s">
        <v>100</v>
      </c>
      <c r="C275" t="s">
        <v>63</v>
      </c>
      <c r="D275" t="s">
        <v>64</v>
      </c>
      <c r="E275" t="s">
        <v>12</v>
      </c>
      <c r="F275">
        <v>65339000000</v>
      </c>
      <c r="G275" s="1">
        <v>44101</v>
      </c>
      <c r="H275" t="s">
        <v>13</v>
      </c>
      <c r="I275" t="s">
        <v>14</v>
      </c>
    </row>
    <row r="276" spans="1:9" x14ac:dyDescent="0.2">
      <c r="A276">
        <v>320193</v>
      </c>
      <c r="B276" t="s">
        <v>100</v>
      </c>
      <c r="C276" t="s">
        <v>63</v>
      </c>
      <c r="D276" t="s">
        <v>64</v>
      </c>
      <c r="E276" t="s">
        <v>12</v>
      </c>
      <c r="F276">
        <v>65339000000</v>
      </c>
      <c r="G276" s="1">
        <v>44101</v>
      </c>
      <c r="H276" t="s">
        <v>13</v>
      </c>
      <c r="I276" t="s">
        <v>14</v>
      </c>
    </row>
    <row r="277" spans="1:9" x14ac:dyDescent="0.2">
      <c r="A277">
        <v>320193</v>
      </c>
      <c r="B277" t="s">
        <v>101</v>
      </c>
      <c r="C277" t="s">
        <v>63</v>
      </c>
      <c r="D277" t="s">
        <v>64</v>
      </c>
      <c r="E277" t="s">
        <v>12</v>
      </c>
      <c r="F277">
        <v>65339000000</v>
      </c>
      <c r="G277" s="1">
        <v>44101</v>
      </c>
      <c r="H277" t="s">
        <v>13</v>
      </c>
      <c r="I277" t="s">
        <v>14</v>
      </c>
    </row>
    <row r="278" spans="1:9" x14ac:dyDescent="0.2">
      <c r="A278">
        <v>320193</v>
      </c>
      <c r="B278" t="s">
        <v>97</v>
      </c>
      <c r="C278" t="s">
        <v>63</v>
      </c>
      <c r="D278" t="s">
        <v>64</v>
      </c>
      <c r="E278" t="s">
        <v>12</v>
      </c>
      <c r="F278">
        <v>63090000000</v>
      </c>
      <c r="G278" s="1">
        <v>44465</v>
      </c>
      <c r="H278" t="s">
        <v>13</v>
      </c>
      <c r="I278" t="s">
        <v>14</v>
      </c>
    </row>
    <row r="279" spans="1:9" x14ac:dyDescent="0.2">
      <c r="A279">
        <v>320193</v>
      </c>
      <c r="B279" t="s">
        <v>97</v>
      </c>
      <c r="C279" t="s">
        <v>63</v>
      </c>
      <c r="D279" t="s">
        <v>64</v>
      </c>
      <c r="E279" t="s">
        <v>12</v>
      </c>
      <c r="F279">
        <v>63090000000</v>
      </c>
      <c r="G279" s="1">
        <v>44465</v>
      </c>
      <c r="H279" t="s">
        <v>13</v>
      </c>
      <c r="I279" t="s">
        <v>14</v>
      </c>
    </row>
    <row r="280" spans="1:9" x14ac:dyDescent="0.2">
      <c r="A280">
        <v>320193</v>
      </c>
      <c r="B280" t="s">
        <v>97</v>
      </c>
      <c r="C280" t="s">
        <v>63</v>
      </c>
      <c r="D280" t="s">
        <v>64</v>
      </c>
      <c r="E280" t="s">
        <v>12</v>
      </c>
      <c r="F280">
        <v>63090000000</v>
      </c>
      <c r="G280" s="1">
        <v>44465</v>
      </c>
      <c r="H280" t="s">
        <v>13</v>
      </c>
      <c r="I280" t="s">
        <v>14</v>
      </c>
    </row>
    <row r="281" spans="1:9" x14ac:dyDescent="0.2">
      <c r="A281">
        <v>320193</v>
      </c>
      <c r="B281" t="s">
        <v>98</v>
      </c>
      <c r="C281" t="s">
        <v>63</v>
      </c>
      <c r="D281" t="s">
        <v>64</v>
      </c>
      <c r="E281" t="s">
        <v>12</v>
      </c>
      <c r="F281">
        <v>63090000000</v>
      </c>
      <c r="G281" s="1">
        <v>44465</v>
      </c>
      <c r="H281" t="s">
        <v>13</v>
      </c>
      <c r="I281" t="s">
        <v>14</v>
      </c>
    </row>
    <row r="282" spans="1:9" x14ac:dyDescent="0.2">
      <c r="A282">
        <v>320193</v>
      </c>
      <c r="B282" t="s">
        <v>99</v>
      </c>
      <c r="C282" t="s">
        <v>63</v>
      </c>
      <c r="D282" t="s">
        <v>64</v>
      </c>
      <c r="E282" t="s">
        <v>12</v>
      </c>
      <c r="F282">
        <v>63090000000</v>
      </c>
      <c r="G282" s="1">
        <v>44465</v>
      </c>
      <c r="H282" t="s">
        <v>13</v>
      </c>
      <c r="I282" t="s">
        <v>14</v>
      </c>
    </row>
    <row r="283" spans="1:9" x14ac:dyDescent="0.2">
      <c r="A283">
        <v>320193</v>
      </c>
      <c r="B283" t="s">
        <v>99</v>
      </c>
      <c r="C283" t="s">
        <v>63</v>
      </c>
      <c r="D283" t="s">
        <v>64</v>
      </c>
      <c r="E283" t="s">
        <v>12</v>
      </c>
      <c r="F283">
        <v>63090000000</v>
      </c>
      <c r="G283" s="1">
        <v>44465</v>
      </c>
      <c r="H283" t="s">
        <v>13</v>
      </c>
      <c r="I283" t="s">
        <v>14</v>
      </c>
    </row>
    <row r="284" spans="1:9" x14ac:dyDescent="0.2">
      <c r="A284">
        <v>320193</v>
      </c>
      <c r="B284" t="s">
        <v>101</v>
      </c>
      <c r="C284" t="s">
        <v>63</v>
      </c>
      <c r="D284" t="s">
        <v>64</v>
      </c>
      <c r="E284" t="s">
        <v>12</v>
      </c>
      <c r="F284">
        <v>63090000000</v>
      </c>
      <c r="G284" s="1">
        <v>44465</v>
      </c>
      <c r="H284" t="s">
        <v>13</v>
      </c>
      <c r="I284" t="s">
        <v>14</v>
      </c>
    </row>
    <row r="285" spans="1:9" x14ac:dyDescent="0.2">
      <c r="A285">
        <v>320193</v>
      </c>
      <c r="B285" t="s">
        <v>101</v>
      </c>
      <c r="C285" t="s">
        <v>63</v>
      </c>
      <c r="D285" t="s">
        <v>64</v>
      </c>
      <c r="E285" t="s">
        <v>12</v>
      </c>
      <c r="F285">
        <v>63090000000</v>
      </c>
      <c r="G285" s="1">
        <v>44465</v>
      </c>
      <c r="H285" t="s">
        <v>13</v>
      </c>
      <c r="I285" t="s">
        <v>14</v>
      </c>
    </row>
    <row r="286" spans="1:9" x14ac:dyDescent="0.2">
      <c r="A286">
        <v>320193</v>
      </c>
      <c r="B286" t="s">
        <v>88</v>
      </c>
      <c r="C286" t="s">
        <v>63</v>
      </c>
      <c r="D286" t="s">
        <v>64</v>
      </c>
      <c r="E286" t="s">
        <v>12</v>
      </c>
      <c r="F286">
        <v>50672000000</v>
      </c>
      <c r="G286" s="1">
        <v>44829</v>
      </c>
      <c r="H286" t="s">
        <v>13</v>
      </c>
      <c r="I286" t="s">
        <v>14</v>
      </c>
    </row>
    <row r="287" spans="1:9" x14ac:dyDescent="0.2">
      <c r="A287">
        <v>320193</v>
      </c>
      <c r="B287" t="s">
        <v>97</v>
      </c>
      <c r="C287" t="s">
        <v>63</v>
      </c>
      <c r="D287" t="s">
        <v>64</v>
      </c>
      <c r="E287" t="s">
        <v>12</v>
      </c>
      <c r="F287">
        <v>50672000000</v>
      </c>
      <c r="G287" s="1">
        <v>44829</v>
      </c>
      <c r="H287" t="s">
        <v>13</v>
      </c>
      <c r="I287" t="s">
        <v>14</v>
      </c>
    </row>
    <row r="288" spans="1:9" x14ac:dyDescent="0.2">
      <c r="A288">
        <v>320193</v>
      </c>
      <c r="B288" t="s">
        <v>97</v>
      </c>
      <c r="C288" t="s">
        <v>63</v>
      </c>
      <c r="D288" t="s">
        <v>64</v>
      </c>
      <c r="E288" t="s">
        <v>12</v>
      </c>
      <c r="F288">
        <v>50672000000</v>
      </c>
      <c r="G288" s="1">
        <v>44829</v>
      </c>
      <c r="H288" t="s">
        <v>13</v>
      </c>
      <c r="I288" t="s">
        <v>14</v>
      </c>
    </row>
    <row r="289" spans="1:9" x14ac:dyDescent="0.2">
      <c r="A289">
        <v>320193</v>
      </c>
      <c r="B289" t="s">
        <v>98</v>
      </c>
      <c r="C289" t="s">
        <v>63</v>
      </c>
      <c r="D289" t="s">
        <v>64</v>
      </c>
      <c r="E289" t="s">
        <v>12</v>
      </c>
      <c r="F289">
        <v>50672000000</v>
      </c>
      <c r="G289" s="1">
        <v>44829</v>
      </c>
      <c r="H289" t="s">
        <v>13</v>
      </c>
      <c r="I289" t="s">
        <v>14</v>
      </c>
    </row>
    <row r="290" spans="1:9" x14ac:dyDescent="0.2">
      <c r="A290">
        <v>320193</v>
      </c>
      <c r="B290" t="s">
        <v>98</v>
      </c>
      <c r="C290" t="s">
        <v>63</v>
      </c>
      <c r="D290" t="s">
        <v>64</v>
      </c>
      <c r="E290" t="s">
        <v>12</v>
      </c>
      <c r="F290">
        <v>50672000000</v>
      </c>
      <c r="G290" s="1">
        <v>44829</v>
      </c>
      <c r="H290" t="s">
        <v>13</v>
      </c>
      <c r="I290" t="s">
        <v>14</v>
      </c>
    </row>
    <row r="291" spans="1:9" x14ac:dyDescent="0.2">
      <c r="A291">
        <v>320193</v>
      </c>
      <c r="B291" t="s">
        <v>101</v>
      </c>
      <c r="C291" t="s">
        <v>63</v>
      </c>
      <c r="D291" t="s">
        <v>64</v>
      </c>
      <c r="E291" t="s">
        <v>12</v>
      </c>
      <c r="F291">
        <v>50672000000</v>
      </c>
      <c r="G291" s="1">
        <v>44829</v>
      </c>
      <c r="H291" t="s">
        <v>13</v>
      </c>
      <c r="I291" t="s">
        <v>14</v>
      </c>
    </row>
    <row r="292" spans="1:9" x14ac:dyDescent="0.2">
      <c r="A292">
        <v>320193</v>
      </c>
      <c r="B292" t="s">
        <v>101</v>
      </c>
      <c r="C292" t="s">
        <v>63</v>
      </c>
      <c r="D292" t="s">
        <v>64</v>
      </c>
      <c r="E292" t="s">
        <v>12</v>
      </c>
      <c r="F292">
        <v>50672000000</v>
      </c>
      <c r="G292" s="1">
        <v>44829</v>
      </c>
      <c r="H292" t="s">
        <v>13</v>
      </c>
      <c r="I292" t="s">
        <v>14</v>
      </c>
    </row>
    <row r="293" spans="1:9" x14ac:dyDescent="0.2">
      <c r="A293">
        <v>320193</v>
      </c>
      <c r="B293" t="s">
        <v>101</v>
      </c>
      <c r="C293" t="s">
        <v>63</v>
      </c>
      <c r="D293" t="s">
        <v>64</v>
      </c>
      <c r="E293" t="s">
        <v>12</v>
      </c>
      <c r="F293">
        <v>50672000000</v>
      </c>
      <c r="G293" s="1">
        <v>44829</v>
      </c>
      <c r="H293" t="s">
        <v>13</v>
      </c>
      <c r="I293" t="s">
        <v>14</v>
      </c>
    </row>
    <row r="294" spans="1:9" x14ac:dyDescent="0.2">
      <c r="A294">
        <v>320193</v>
      </c>
      <c r="B294" t="s">
        <v>88</v>
      </c>
      <c r="C294" t="s">
        <v>63</v>
      </c>
      <c r="D294" t="s">
        <v>64</v>
      </c>
      <c r="E294" t="s">
        <v>12</v>
      </c>
      <c r="F294">
        <v>62146000000</v>
      </c>
      <c r="G294" s="1">
        <v>45200</v>
      </c>
      <c r="H294" t="s">
        <v>13</v>
      </c>
      <c r="I294" t="s">
        <v>14</v>
      </c>
    </row>
    <row r="295" spans="1:9" x14ac:dyDescent="0.2">
      <c r="A295">
        <v>320193</v>
      </c>
      <c r="B295" t="s">
        <v>88</v>
      </c>
      <c r="C295" t="s">
        <v>63</v>
      </c>
      <c r="D295" t="s">
        <v>64</v>
      </c>
      <c r="E295" t="s">
        <v>12</v>
      </c>
      <c r="F295">
        <v>62146000000</v>
      </c>
      <c r="G295" s="1">
        <v>45200</v>
      </c>
      <c r="H295" t="s">
        <v>13</v>
      </c>
      <c r="I295" t="s">
        <v>14</v>
      </c>
    </row>
    <row r="296" spans="1:9" x14ac:dyDescent="0.2">
      <c r="A296">
        <v>320193</v>
      </c>
      <c r="B296" t="s">
        <v>98</v>
      </c>
      <c r="C296" t="s">
        <v>63</v>
      </c>
      <c r="D296" t="s">
        <v>64</v>
      </c>
      <c r="E296" t="s">
        <v>12</v>
      </c>
      <c r="F296">
        <v>62146000000</v>
      </c>
      <c r="G296" s="1">
        <v>45200</v>
      </c>
      <c r="H296" t="s">
        <v>13</v>
      </c>
      <c r="I296" t="s">
        <v>14</v>
      </c>
    </row>
    <row r="297" spans="1:9" x14ac:dyDescent="0.2">
      <c r="A297">
        <v>320193</v>
      </c>
      <c r="B297" t="s">
        <v>98</v>
      </c>
      <c r="C297" t="s">
        <v>63</v>
      </c>
      <c r="D297" t="s">
        <v>64</v>
      </c>
      <c r="E297" t="s">
        <v>12</v>
      </c>
      <c r="F297">
        <v>62146000000</v>
      </c>
      <c r="G297" s="1">
        <v>45200</v>
      </c>
      <c r="H297" t="s">
        <v>13</v>
      </c>
      <c r="I297" t="s">
        <v>14</v>
      </c>
    </row>
    <row r="298" spans="1:9" x14ac:dyDescent="0.2">
      <c r="A298">
        <v>320193</v>
      </c>
      <c r="B298" t="s">
        <v>98</v>
      </c>
      <c r="C298" t="s">
        <v>63</v>
      </c>
      <c r="D298" t="s">
        <v>64</v>
      </c>
      <c r="E298" t="s">
        <v>12</v>
      </c>
      <c r="F298">
        <v>62146000000</v>
      </c>
      <c r="G298" s="1">
        <v>45200</v>
      </c>
      <c r="H298" t="s">
        <v>13</v>
      </c>
      <c r="I298" t="s">
        <v>14</v>
      </c>
    </row>
    <row r="299" spans="1:9" x14ac:dyDescent="0.2">
      <c r="A299">
        <v>320193</v>
      </c>
      <c r="B299" t="s">
        <v>101</v>
      </c>
      <c r="C299" t="s">
        <v>63</v>
      </c>
      <c r="D299" t="s">
        <v>64</v>
      </c>
      <c r="E299" t="s">
        <v>12</v>
      </c>
      <c r="F299">
        <v>62146000000</v>
      </c>
      <c r="G299" s="1">
        <v>45200</v>
      </c>
      <c r="H299" t="s">
        <v>13</v>
      </c>
      <c r="I299" t="s">
        <v>14</v>
      </c>
    </row>
    <row r="300" spans="1:9" x14ac:dyDescent="0.2">
      <c r="A300">
        <v>320193</v>
      </c>
      <c r="B300" t="s">
        <v>101</v>
      </c>
      <c r="C300" t="s">
        <v>63</v>
      </c>
      <c r="D300" t="s">
        <v>64</v>
      </c>
      <c r="E300" t="s">
        <v>12</v>
      </c>
      <c r="F300">
        <v>62146000000</v>
      </c>
      <c r="G300" s="1">
        <v>45200</v>
      </c>
      <c r="H300" t="s">
        <v>13</v>
      </c>
      <c r="I300" t="s">
        <v>14</v>
      </c>
    </row>
    <row r="301" spans="1:9" x14ac:dyDescent="0.2">
      <c r="A301">
        <v>320193</v>
      </c>
      <c r="B301" t="s">
        <v>88</v>
      </c>
      <c r="C301" t="s">
        <v>63</v>
      </c>
      <c r="D301" t="s">
        <v>64</v>
      </c>
      <c r="E301" t="s">
        <v>12</v>
      </c>
      <c r="F301">
        <v>56950000000</v>
      </c>
      <c r="G301" s="1">
        <v>45564</v>
      </c>
      <c r="H301" t="s">
        <v>13</v>
      </c>
      <c r="I301" t="s">
        <v>14</v>
      </c>
    </row>
    <row r="302" spans="1:9" x14ac:dyDescent="0.2">
      <c r="A302">
        <v>320193</v>
      </c>
      <c r="B302" t="s">
        <v>88</v>
      </c>
      <c r="C302" t="s">
        <v>63</v>
      </c>
      <c r="D302" t="s">
        <v>64</v>
      </c>
      <c r="E302" t="s">
        <v>12</v>
      </c>
      <c r="F302">
        <v>56950000000</v>
      </c>
      <c r="G302" s="1">
        <v>45564</v>
      </c>
      <c r="H302" t="s">
        <v>13</v>
      </c>
      <c r="I302" t="s">
        <v>14</v>
      </c>
    </row>
    <row r="303" spans="1:9" x14ac:dyDescent="0.2">
      <c r="A303">
        <v>320193</v>
      </c>
      <c r="B303" t="s">
        <v>88</v>
      </c>
      <c r="C303" t="s">
        <v>63</v>
      </c>
      <c r="D303" t="s">
        <v>64</v>
      </c>
      <c r="E303" t="s">
        <v>12</v>
      </c>
      <c r="F303">
        <v>56950000000</v>
      </c>
      <c r="G303" s="1">
        <v>45564</v>
      </c>
      <c r="H303" t="s">
        <v>13</v>
      </c>
      <c r="I303" t="s">
        <v>14</v>
      </c>
    </row>
    <row r="304" spans="1:9" x14ac:dyDescent="0.2">
      <c r="A304">
        <v>320193</v>
      </c>
      <c r="B304" t="s">
        <v>98</v>
      </c>
      <c r="C304" t="s">
        <v>63</v>
      </c>
      <c r="D304" t="s">
        <v>64</v>
      </c>
      <c r="E304" t="s">
        <v>12</v>
      </c>
      <c r="F304">
        <v>56950000000</v>
      </c>
      <c r="G304" s="1">
        <v>45564</v>
      </c>
      <c r="H304" t="s">
        <v>13</v>
      </c>
      <c r="I304" t="s">
        <v>14</v>
      </c>
    </row>
    <row r="305" spans="1:9" x14ac:dyDescent="0.2">
      <c r="A305">
        <v>320193</v>
      </c>
      <c r="B305" t="s">
        <v>98</v>
      </c>
      <c r="C305" t="s">
        <v>63</v>
      </c>
      <c r="D305" t="s">
        <v>64</v>
      </c>
      <c r="E305" t="s">
        <v>12</v>
      </c>
      <c r="F305">
        <v>56950000000</v>
      </c>
      <c r="G305" s="1">
        <v>45564</v>
      </c>
      <c r="H305" t="s">
        <v>13</v>
      </c>
      <c r="I305" t="s">
        <v>14</v>
      </c>
    </row>
    <row r="306" spans="1:9" x14ac:dyDescent="0.2">
      <c r="A306">
        <v>320193</v>
      </c>
      <c r="B306" t="s">
        <v>88</v>
      </c>
      <c r="C306" t="s">
        <v>63</v>
      </c>
      <c r="D306" t="s">
        <v>64</v>
      </c>
      <c r="E306" t="s">
        <v>12</v>
      </c>
      <c r="F306">
        <v>73733000000</v>
      </c>
      <c r="G306" s="1">
        <v>45928</v>
      </c>
      <c r="H306" t="s">
        <v>13</v>
      </c>
      <c r="I306" t="s">
        <v>14</v>
      </c>
    </row>
    <row r="307" spans="1:9" x14ac:dyDescent="0.2">
      <c r="A307">
        <v>320193</v>
      </c>
      <c r="B307" t="s">
        <v>88</v>
      </c>
      <c r="C307" t="s">
        <v>63</v>
      </c>
      <c r="D307" t="s">
        <v>64</v>
      </c>
      <c r="E307" t="s">
        <v>12</v>
      </c>
      <c r="F307">
        <v>73733000000</v>
      </c>
      <c r="G307" s="1">
        <v>45928</v>
      </c>
      <c r="H307" t="s">
        <v>13</v>
      </c>
      <c r="I307" t="s">
        <v>14</v>
      </c>
    </row>
    <row r="308" spans="1:9" x14ac:dyDescent="0.2">
      <c r="A308">
        <v>320193</v>
      </c>
      <c r="B308" t="s">
        <v>101</v>
      </c>
      <c r="C308" t="s">
        <v>89</v>
      </c>
      <c r="D308" t="s">
        <v>90</v>
      </c>
      <c r="E308" t="s">
        <v>12</v>
      </c>
      <c r="F308">
        <v>6552000000</v>
      </c>
      <c r="G308" s="1">
        <v>44829</v>
      </c>
      <c r="H308" t="s">
        <v>13</v>
      </c>
      <c r="I308" t="s">
        <v>14</v>
      </c>
    </row>
    <row r="309" spans="1:9" x14ac:dyDescent="0.2">
      <c r="A309">
        <v>320193</v>
      </c>
      <c r="B309" t="s">
        <v>98</v>
      </c>
      <c r="C309" t="s">
        <v>89</v>
      </c>
      <c r="D309" t="s">
        <v>90</v>
      </c>
      <c r="E309" t="s">
        <v>12</v>
      </c>
      <c r="F309">
        <v>8819000000</v>
      </c>
      <c r="G309" s="1">
        <v>45200</v>
      </c>
      <c r="H309" t="s">
        <v>13</v>
      </c>
      <c r="I309" t="s">
        <v>14</v>
      </c>
    </row>
    <row r="310" spans="1:9" x14ac:dyDescent="0.2">
      <c r="A310">
        <v>320193</v>
      </c>
      <c r="B310" t="s">
        <v>101</v>
      </c>
      <c r="C310" t="s">
        <v>89</v>
      </c>
      <c r="D310" t="s">
        <v>90</v>
      </c>
      <c r="E310" t="s">
        <v>12</v>
      </c>
      <c r="F310">
        <v>8819000000</v>
      </c>
      <c r="G310" s="1">
        <v>45200</v>
      </c>
      <c r="H310" t="s">
        <v>13</v>
      </c>
      <c r="I310" t="s">
        <v>14</v>
      </c>
    </row>
    <row r="311" spans="1:9" x14ac:dyDescent="0.2">
      <c r="A311">
        <v>320193</v>
      </c>
      <c r="B311" t="s">
        <v>88</v>
      </c>
      <c r="C311" t="s">
        <v>89</v>
      </c>
      <c r="D311" t="s">
        <v>90</v>
      </c>
      <c r="E311" t="s">
        <v>12</v>
      </c>
      <c r="F311">
        <v>26601000000</v>
      </c>
      <c r="G311" s="1">
        <v>45564</v>
      </c>
      <c r="H311" t="s">
        <v>13</v>
      </c>
      <c r="I311" t="s">
        <v>14</v>
      </c>
    </row>
    <row r="312" spans="1:9" x14ac:dyDescent="0.2">
      <c r="A312">
        <v>320193</v>
      </c>
      <c r="B312" t="s">
        <v>98</v>
      </c>
      <c r="C312" t="s">
        <v>89</v>
      </c>
      <c r="D312" t="s">
        <v>90</v>
      </c>
      <c r="E312" t="s">
        <v>12</v>
      </c>
      <c r="F312">
        <v>26601000000</v>
      </c>
      <c r="G312" s="1">
        <v>45564</v>
      </c>
      <c r="H312" t="s">
        <v>13</v>
      </c>
      <c r="I312" t="s">
        <v>14</v>
      </c>
    </row>
    <row r="313" spans="1:9" x14ac:dyDescent="0.2">
      <c r="A313">
        <v>320193</v>
      </c>
      <c r="B313" t="s">
        <v>88</v>
      </c>
      <c r="C313" t="s">
        <v>89</v>
      </c>
      <c r="D313" t="s">
        <v>90</v>
      </c>
      <c r="E313" t="s">
        <v>12</v>
      </c>
      <c r="F313">
        <v>13016000000</v>
      </c>
      <c r="G313" s="1">
        <v>45928</v>
      </c>
      <c r="H313" t="s">
        <v>13</v>
      </c>
      <c r="I313" t="s">
        <v>14</v>
      </c>
    </row>
    <row r="314" spans="1:9" x14ac:dyDescent="0.2">
      <c r="A314">
        <v>320193</v>
      </c>
      <c r="B314" t="s">
        <v>9</v>
      </c>
      <c r="C314" t="s">
        <v>118</v>
      </c>
      <c r="D314" t="s">
        <v>119</v>
      </c>
      <c r="E314" t="s">
        <v>12</v>
      </c>
      <c r="F314">
        <v>131339000000</v>
      </c>
      <c r="G314" s="1">
        <v>43373</v>
      </c>
      <c r="H314" t="s">
        <v>13</v>
      </c>
      <c r="I314" t="s">
        <v>14</v>
      </c>
    </row>
    <row r="315" spans="1:9" x14ac:dyDescent="0.2">
      <c r="A315">
        <v>320193</v>
      </c>
      <c r="B315" t="s">
        <v>9</v>
      </c>
      <c r="C315" t="s">
        <v>118</v>
      </c>
      <c r="D315" t="s">
        <v>119</v>
      </c>
      <c r="E315" t="s">
        <v>12</v>
      </c>
      <c r="F315">
        <v>162819000000</v>
      </c>
      <c r="G315" s="1">
        <v>43737</v>
      </c>
      <c r="H315" t="s">
        <v>13</v>
      </c>
      <c r="I315" t="s">
        <v>14</v>
      </c>
    </row>
    <row r="316" spans="1:9" x14ac:dyDescent="0.2">
      <c r="A316">
        <v>320193</v>
      </c>
      <c r="B316" t="s">
        <v>100</v>
      </c>
      <c r="C316" t="s">
        <v>118</v>
      </c>
      <c r="D316" t="s">
        <v>119</v>
      </c>
      <c r="E316" t="s">
        <v>12</v>
      </c>
      <c r="F316">
        <v>162819000000</v>
      </c>
      <c r="G316" s="1">
        <v>43737</v>
      </c>
      <c r="H316" t="s">
        <v>13</v>
      </c>
      <c r="I316" t="s">
        <v>14</v>
      </c>
    </row>
    <row r="317" spans="1:9" x14ac:dyDescent="0.2">
      <c r="A317">
        <v>320193</v>
      </c>
      <c r="B317" t="s">
        <v>99</v>
      </c>
      <c r="C317" t="s">
        <v>118</v>
      </c>
      <c r="D317" t="s">
        <v>119</v>
      </c>
      <c r="E317" t="s">
        <v>12</v>
      </c>
      <c r="F317">
        <v>143713000000</v>
      </c>
      <c r="G317" s="1">
        <v>44101</v>
      </c>
      <c r="H317" t="s">
        <v>13</v>
      </c>
      <c r="I317" t="s">
        <v>14</v>
      </c>
    </row>
    <row r="318" spans="1:9" x14ac:dyDescent="0.2">
      <c r="A318">
        <v>320193</v>
      </c>
      <c r="B318" t="s">
        <v>100</v>
      </c>
      <c r="C318" t="s">
        <v>118</v>
      </c>
      <c r="D318" t="s">
        <v>119</v>
      </c>
      <c r="E318" t="s">
        <v>12</v>
      </c>
      <c r="F318">
        <v>143713000000</v>
      </c>
      <c r="G318" s="1">
        <v>44101</v>
      </c>
      <c r="H318" t="s">
        <v>13</v>
      </c>
      <c r="I318" t="s">
        <v>14</v>
      </c>
    </row>
    <row r="319" spans="1:9" x14ac:dyDescent="0.2">
      <c r="A319">
        <v>320193</v>
      </c>
      <c r="B319" t="s">
        <v>97</v>
      </c>
      <c r="C319" t="s">
        <v>118</v>
      </c>
      <c r="D319" t="s">
        <v>119</v>
      </c>
      <c r="E319" t="s">
        <v>12</v>
      </c>
      <c r="F319">
        <v>134836000000</v>
      </c>
      <c r="G319" s="1">
        <v>44465</v>
      </c>
      <c r="H319" t="s">
        <v>13</v>
      </c>
      <c r="I319" t="s">
        <v>14</v>
      </c>
    </row>
    <row r="320" spans="1:9" x14ac:dyDescent="0.2">
      <c r="A320">
        <v>320193</v>
      </c>
      <c r="B320" t="s">
        <v>99</v>
      </c>
      <c r="C320" t="s">
        <v>118</v>
      </c>
      <c r="D320" t="s">
        <v>119</v>
      </c>
      <c r="E320" t="s">
        <v>12</v>
      </c>
      <c r="F320">
        <v>134836000000</v>
      </c>
      <c r="G320" s="1">
        <v>44465</v>
      </c>
      <c r="H320" t="s">
        <v>13</v>
      </c>
      <c r="I320" t="s">
        <v>14</v>
      </c>
    </row>
    <row r="321" spans="1:9" x14ac:dyDescent="0.2">
      <c r="A321">
        <v>320193</v>
      </c>
      <c r="B321" t="s">
        <v>97</v>
      </c>
      <c r="C321" t="s">
        <v>118</v>
      </c>
      <c r="D321" t="s">
        <v>119</v>
      </c>
      <c r="E321" t="s">
        <v>12</v>
      </c>
      <c r="F321">
        <v>135405000000</v>
      </c>
      <c r="G321" s="1">
        <v>44829</v>
      </c>
      <c r="H321" t="s">
        <v>13</v>
      </c>
      <c r="I321" t="s">
        <v>14</v>
      </c>
    </row>
    <row r="322" spans="1:9" x14ac:dyDescent="0.2">
      <c r="A322">
        <v>320193</v>
      </c>
      <c r="B322" t="s">
        <v>101</v>
      </c>
      <c r="C322" t="s">
        <v>118</v>
      </c>
      <c r="D322" t="s">
        <v>119</v>
      </c>
      <c r="E322" t="s">
        <v>12</v>
      </c>
      <c r="F322">
        <v>135405000000</v>
      </c>
      <c r="G322" s="1">
        <v>44829</v>
      </c>
      <c r="H322" t="s">
        <v>13</v>
      </c>
      <c r="I322" t="s">
        <v>14</v>
      </c>
    </row>
    <row r="323" spans="1:9" x14ac:dyDescent="0.2">
      <c r="A323">
        <v>320193</v>
      </c>
      <c r="B323" t="s">
        <v>98</v>
      </c>
      <c r="C323" t="s">
        <v>118</v>
      </c>
      <c r="D323" t="s">
        <v>119</v>
      </c>
      <c r="E323" t="s">
        <v>12</v>
      </c>
      <c r="F323">
        <v>143566000000</v>
      </c>
      <c r="G323" s="1">
        <v>45200</v>
      </c>
      <c r="H323" t="s">
        <v>13</v>
      </c>
      <c r="I323" t="s">
        <v>14</v>
      </c>
    </row>
    <row r="324" spans="1:9" x14ac:dyDescent="0.2">
      <c r="A324">
        <v>320193</v>
      </c>
      <c r="B324" t="s">
        <v>101</v>
      </c>
      <c r="C324" t="s">
        <v>118</v>
      </c>
      <c r="D324" t="s">
        <v>119</v>
      </c>
      <c r="E324" t="s">
        <v>12</v>
      </c>
      <c r="F324">
        <v>143566000000</v>
      </c>
      <c r="G324" s="1">
        <v>45200</v>
      </c>
      <c r="H324" t="s">
        <v>13</v>
      </c>
      <c r="I324" t="s">
        <v>14</v>
      </c>
    </row>
    <row r="325" spans="1:9" x14ac:dyDescent="0.2">
      <c r="A325">
        <v>320193</v>
      </c>
      <c r="B325" t="s">
        <v>88</v>
      </c>
      <c r="C325" t="s">
        <v>118</v>
      </c>
      <c r="D325" t="s">
        <v>119</v>
      </c>
      <c r="E325" t="s">
        <v>12</v>
      </c>
      <c r="F325">
        <v>152987000000</v>
      </c>
      <c r="G325" s="1">
        <v>45564</v>
      </c>
      <c r="H325" t="s">
        <v>13</v>
      </c>
      <c r="I325" t="s">
        <v>14</v>
      </c>
    </row>
    <row r="326" spans="1:9" x14ac:dyDescent="0.2">
      <c r="A326">
        <v>320193</v>
      </c>
      <c r="B326" t="s">
        <v>98</v>
      </c>
      <c r="C326" t="s">
        <v>118</v>
      </c>
      <c r="D326" t="s">
        <v>119</v>
      </c>
      <c r="E326" t="s">
        <v>12</v>
      </c>
      <c r="F326">
        <v>152987000000</v>
      </c>
      <c r="G326" s="1">
        <v>45564</v>
      </c>
      <c r="H326" t="s">
        <v>13</v>
      </c>
      <c r="I326" t="s">
        <v>14</v>
      </c>
    </row>
    <row r="327" spans="1:9" x14ac:dyDescent="0.2">
      <c r="A327">
        <v>320193</v>
      </c>
      <c r="B327" t="s">
        <v>88</v>
      </c>
      <c r="C327" t="s">
        <v>118</v>
      </c>
      <c r="D327" t="s">
        <v>119</v>
      </c>
      <c r="E327" t="s">
        <v>12</v>
      </c>
      <c r="F327">
        <v>147957000000</v>
      </c>
      <c r="G327" s="1">
        <v>45928</v>
      </c>
      <c r="H327" t="s">
        <v>13</v>
      </c>
      <c r="I327" t="s">
        <v>14</v>
      </c>
    </row>
    <row r="328" spans="1:9" x14ac:dyDescent="0.2">
      <c r="A328">
        <v>320193</v>
      </c>
      <c r="B328" t="s">
        <v>99</v>
      </c>
      <c r="C328" t="s">
        <v>93</v>
      </c>
      <c r="D328" t="s">
        <v>94</v>
      </c>
      <c r="E328" t="s">
        <v>12</v>
      </c>
      <c r="F328">
        <v>24000000</v>
      </c>
      <c r="G328" s="1">
        <v>44101</v>
      </c>
      <c r="H328" t="s">
        <v>13</v>
      </c>
      <c r="I328" t="s">
        <v>14</v>
      </c>
    </row>
    <row r="329" spans="1:9" x14ac:dyDescent="0.2">
      <c r="A329">
        <v>320193</v>
      </c>
      <c r="B329" t="s">
        <v>100</v>
      </c>
      <c r="C329" t="s">
        <v>93</v>
      </c>
      <c r="D329" t="s">
        <v>94</v>
      </c>
      <c r="E329" t="s">
        <v>12</v>
      </c>
      <c r="F329">
        <v>24000000</v>
      </c>
      <c r="G329" s="1">
        <v>44101</v>
      </c>
      <c r="H329" t="s">
        <v>13</v>
      </c>
      <c r="I329" t="s">
        <v>14</v>
      </c>
    </row>
    <row r="330" spans="1:9" x14ac:dyDescent="0.2">
      <c r="A330">
        <v>320193</v>
      </c>
      <c r="B330" t="s">
        <v>97</v>
      </c>
      <c r="C330" t="s">
        <v>93</v>
      </c>
      <c r="D330" t="s">
        <v>94</v>
      </c>
      <c r="E330" t="s">
        <v>12</v>
      </c>
      <c r="F330">
        <v>79000000</v>
      </c>
      <c r="G330" s="1">
        <v>44465</v>
      </c>
      <c r="H330" t="s">
        <v>13</v>
      </c>
      <c r="I330" t="s">
        <v>14</v>
      </c>
    </row>
    <row r="331" spans="1:9" x14ac:dyDescent="0.2">
      <c r="A331">
        <v>320193</v>
      </c>
      <c r="B331" t="s">
        <v>99</v>
      </c>
      <c r="C331" t="s">
        <v>93</v>
      </c>
      <c r="D331" t="s">
        <v>94</v>
      </c>
      <c r="E331" t="s">
        <v>12</v>
      </c>
      <c r="F331">
        <v>79000000</v>
      </c>
      <c r="G331" s="1">
        <v>44465</v>
      </c>
      <c r="H331" t="s">
        <v>13</v>
      </c>
      <c r="I331" t="s">
        <v>14</v>
      </c>
    </row>
    <row r="332" spans="1:9" x14ac:dyDescent="0.2">
      <c r="A332">
        <v>320193</v>
      </c>
      <c r="B332" t="s">
        <v>97</v>
      </c>
      <c r="C332" t="s">
        <v>93</v>
      </c>
      <c r="D332" t="s">
        <v>94</v>
      </c>
      <c r="E332" t="s">
        <v>12</v>
      </c>
      <c r="F332">
        <v>129000000</v>
      </c>
      <c r="G332" s="1">
        <v>44829</v>
      </c>
      <c r="H332" t="s">
        <v>13</v>
      </c>
      <c r="I332" t="s">
        <v>14</v>
      </c>
    </row>
    <row r="333" spans="1:9" x14ac:dyDescent="0.2">
      <c r="A333">
        <v>320193</v>
      </c>
      <c r="B333" t="s">
        <v>101</v>
      </c>
      <c r="C333" t="s">
        <v>93</v>
      </c>
      <c r="D333" t="s">
        <v>94</v>
      </c>
      <c r="E333" t="s">
        <v>12</v>
      </c>
      <c r="F333">
        <v>129000000</v>
      </c>
      <c r="G333" s="1">
        <v>44829</v>
      </c>
      <c r="H333" t="s">
        <v>13</v>
      </c>
      <c r="I333" t="s">
        <v>14</v>
      </c>
    </row>
    <row r="334" spans="1:9" x14ac:dyDescent="0.2">
      <c r="A334">
        <v>320193</v>
      </c>
      <c r="B334" t="s">
        <v>98</v>
      </c>
      <c r="C334" t="s">
        <v>93</v>
      </c>
      <c r="D334" t="s">
        <v>94</v>
      </c>
      <c r="E334" t="s">
        <v>12</v>
      </c>
      <c r="F334">
        <v>165000000</v>
      </c>
      <c r="G334" s="1">
        <v>45200</v>
      </c>
      <c r="H334" t="s">
        <v>13</v>
      </c>
      <c r="I334" t="s">
        <v>14</v>
      </c>
    </row>
    <row r="335" spans="1:9" x14ac:dyDescent="0.2">
      <c r="A335">
        <v>320193</v>
      </c>
      <c r="B335" t="s">
        <v>101</v>
      </c>
      <c r="C335" t="s">
        <v>93</v>
      </c>
      <c r="D335" t="s">
        <v>94</v>
      </c>
      <c r="E335" t="s">
        <v>12</v>
      </c>
      <c r="F335">
        <v>165000000</v>
      </c>
      <c r="G335" s="1">
        <v>45200</v>
      </c>
      <c r="H335" t="s">
        <v>13</v>
      </c>
      <c r="I335" t="s">
        <v>14</v>
      </c>
    </row>
    <row r="336" spans="1:9" x14ac:dyDescent="0.2">
      <c r="A336">
        <v>320193</v>
      </c>
      <c r="B336" t="s">
        <v>88</v>
      </c>
      <c r="C336" t="s">
        <v>93</v>
      </c>
      <c r="D336" t="s">
        <v>94</v>
      </c>
      <c r="E336" t="s">
        <v>12</v>
      </c>
      <c r="F336">
        <v>144000000</v>
      </c>
      <c r="G336" s="1">
        <v>45564</v>
      </c>
      <c r="H336" t="s">
        <v>13</v>
      </c>
      <c r="I336" t="s">
        <v>14</v>
      </c>
    </row>
    <row r="337" spans="1:9" x14ac:dyDescent="0.2">
      <c r="A337">
        <v>320193</v>
      </c>
      <c r="B337" t="s">
        <v>98</v>
      </c>
      <c r="C337" t="s">
        <v>93</v>
      </c>
      <c r="D337" t="s">
        <v>94</v>
      </c>
      <c r="E337" t="s">
        <v>12</v>
      </c>
      <c r="F337">
        <v>144000000</v>
      </c>
      <c r="G337" s="1">
        <v>45564</v>
      </c>
      <c r="H337" t="s">
        <v>13</v>
      </c>
      <c r="I337" t="s">
        <v>14</v>
      </c>
    </row>
    <row r="338" spans="1:9" x14ac:dyDescent="0.2">
      <c r="A338">
        <v>320193</v>
      </c>
      <c r="B338" t="s">
        <v>88</v>
      </c>
      <c r="C338" t="s">
        <v>93</v>
      </c>
      <c r="D338" t="s">
        <v>94</v>
      </c>
      <c r="E338" t="s">
        <v>12</v>
      </c>
      <c r="F338">
        <v>538000000</v>
      </c>
      <c r="G338" s="1">
        <v>45928</v>
      </c>
      <c r="H338" t="s">
        <v>13</v>
      </c>
      <c r="I338" t="s">
        <v>14</v>
      </c>
    </row>
    <row r="339" spans="1:9" x14ac:dyDescent="0.2">
      <c r="A339">
        <v>320193</v>
      </c>
      <c r="B339" t="s">
        <v>99</v>
      </c>
      <c r="C339" t="s">
        <v>91</v>
      </c>
      <c r="D339" t="s">
        <v>92</v>
      </c>
      <c r="E339" t="s">
        <v>12</v>
      </c>
      <c r="F339">
        <v>1436000000</v>
      </c>
      <c r="G339" s="1">
        <v>44101</v>
      </c>
      <c r="H339" t="s">
        <v>13</v>
      </c>
      <c r="I339" t="s">
        <v>14</v>
      </c>
    </row>
    <row r="340" spans="1:9" x14ac:dyDescent="0.2">
      <c r="A340">
        <v>320193</v>
      </c>
      <c r="B340" t="s">
        <v>100</v>
      </c>
      <c r="C340" t="s">
        <v>91</v>
      </c>
      <c r="D340" t="s">
        <v>92</v>
      </c>
      <c r="E340" t="s">
        <v>12</v>
      </c>
      <c r="F340">
        <v>1436000000</v>
      </c>
      <c r="G340" s="1">
        <v>44101</v>
      </c>
      <c r="H340" t="s">
        <v>13</v>
      </c>
      <c r="I340" t="s">
        <v>14</v>
      </c>
    </row>
    <row r="341" spans="1:9" x14ac:dyDescent="0.2">
      <c r="A341">
        <v>320193</v>
      </c>
      <c r="B341" t="s">
        <v>97</v>
      </c>
      <c r="C341" t="s">
        <v>91</v>
      </c>
      <c r="D341" t="s">
        <v>92</v>
      </c>
      <c r="E341" t="s">
        <v>12</v>
      </c>
      <c r="F341">
        <v>1449000000</v>
      </c>
      <c r="G341" s="1">
        <v>44465</v>
      </c>
      <c r="H341" t="s">
        <v>13</v>
      </c>
      <c r="I341" t="s">
        <v>14</v>
      </c>
    </row>
    <row r="342" spans="1:9" x14ac:dyDescent="0.2">
      <c r="A342">
        <v>320193</v>
      </c>
      <c r="B342" t="s">
        <v>99</v>
      </c>
      <c r="C342" t="s">
        <v>91</v>
      </c>
      <c r="D342" t="s">
        <v>92</v>
      </c>
      <c r="E342" t="s">
        <v>12</v>
      </c>
      <c r="F342">
        <v>1449000000</v>
      </c>
      <c r="G342" s="1">
        <v>44465</v>
      </c>
      <c r="H342" t="s">
        <v>13</v>
      </c>
      <c r="I342" t="s">
        <v>14</v>
      </c>
    </row>
    <row r="343" spans="1:9" x14ac:dyDescent="0.2">
      <c r="A343">
        <v>320193</v>
      </c>
      <c r="B343" t="s">
        <v>97</v>
      </c>
      <c r="C343" t="s">
        <v>91</v>
      </c>
      <c r="D343" t="s">
        <v>92</v>
      </c>
      <c r="E343" t="s">
        <v>12</v>
      </c>
      <c r="F343">
        <v>1534000000</v>
      </c>
      <c r="G343" s="1">
        <v>44829</v>
      </c>
      <c r="H343" t="s">
        <v>13</v>
      </c>
      <c r="I343" t="s">
        <v>14</v>
      </c>
    </row>
    <row r="344" spans="1:9" x14ac:dyDescent="0.2">
      <c r="A344">
        <v>320193</v>
      </c>
      <c r="B344" t="s">
        <v>101</v>
      </c>
      <c r="C344" t="s">
        <v>91</v>
      </c>
      <c r="D344" t="s">
        <v>92</v>
      </c>
      <c r="E344" t="s">
        <v>12</v>
      </c>
      <c r="F344">
        <v>1534000000</v>
      </c>
      <c r="G344" s="1">
        <v>44829</v>
      </c>
      <c r="H344" t="s">
        <v>13</v>
      </c>
      <c r="I344" t="s">
        <v>14</v>
      </c>
    </row>
    <row r="345" spans="1:9" x14ac:dyDescent="0.2">
      <c r="A345">
        <v>320193</v>
      </c>
      <c r="B345" t="s">
        <v>98</v>
      </c>
      <c r="C345" t="s">
        <v>91</v>
      </c>
      <c r="D345" t="s">
        <v>92</v>
      </c>
      <c r="E345" t="s">
        <v>12</v>
      </c>
      <c r="F345">
        <v>1410000000</v>
      </c>
      <c r="G345" s="1">
        <v>45200</v>
      </c>
      <c r="H345" t="s">
        <v>13</v>
      </c>
      <c r="I345" t="s">
        <v>14</v>
      </c>
    </row>
    <row r="346" spans="1:9" x14ac:dyDescent="0.2">
      <c r="A346">
        <v>320193</v>
      </c>
      <c r="B346" t="s">
        <v>101</v>
      </c>
      <c r="C346" t="s">
        <v>91</v>
      </c>
      <c r="D346" t="s">
        <v>92</v>
      </c>
      <c r="E346" t="s">
        <v>12</v>
      </c>
      <c r="F346">
        <v>1410000000</v>
      </c>
      <c r="G346" s="1">
        <v>45200</v>
      </c>
      <c r="H346" t="s">
        <v>13</v>
      </c>
      <c r="I346" t="s">
        <v>14</v>
      </c>
    </row>
    <row r="347" spans="1:9" x14ac:dyDescent="0.2">
      <c r="A347">
        <v>320193</v>
      </c>
      <c r="B347" t="s">
        <v>88</v>
      </c>
      <c r="C347" t="s">
        <v>91</v>
      </c>
      <c r="D347" t="s">
        <v>92</v>
      </c>
      <c r="E347" t="s">
        <v>12</v>
      </c>
      <c r="F347">
        <v>1488000000</v>
      </c>
      <c r="G347" s="1">
        <v>45564</v>
      </c>
      <c r="H347" t="s">
        <v>13</v>
      </c>
      <c r="I347" t="s">
        <v>14</v>
      </c>
    </row>
    <row r="348" spans="1:9" x14ac:dyDescent="0.2">
      <c r="A348">
        <v>320193</v>
      </c>
      <c r="B348" t="s">
        <v>98</v>
      </c>
      <c r="C348" t="s">
        <v>91</v>
      </c>
      <c r="D348" t="s">
        <v>92</v>
      </c>
      <c r="E348" t="s">
        <v>12</v>
      </c>
      <c r="F348">
        <v>1488000000</v>
      </c>
      <c r="G348" s="1">
        <v>45564</v>
      </c>
      <c r="H348" t="s">
        <v>13</v>
      </c>
      <c r="I348" t="s">
        <v>14</v>
      </c>
    </row>
    <row r="349" spans="1:9" x14ac:dyDescent="0.2">
      <c r="A349">
        <v>320193</v>
      </c>
      <c r="B349" t="s">
        <v>88</v>
      </c>
      <c r="C349" t="s">
        <v>91</v>
      </c>
      <c r="D349" t="s">
        <v>92</v>
      </c>
      <c r="E349" t="s">
        <v>12</v>
      </c>
      <c r="F349">
        <v>1579000000</v>
      </c>
      <c r="G349" s="1">
        <v>45928</v>
      </c>
      <c r="H349" t="s">
        <v>13</v>
      </c>
      <c r="I349" t="s">
        <v>14</v>
      </c>
    </row>
    <row r="350" spans="1:9" x14ac:dyDescent="0.2">
      <c r="A350">
        <v>320193</v>
      </c>
      <c r="B350" t="s">
        <v>9</v>
      </c>
      <c r="C350" t="s">
        <v>111</v>
      </c>
      <c r="D350" t="s">
        <v>112</v>
      </c>
      <c r="E350" t="s">
        <v>12</v>
      </c>
      <c r="F350">
        <v>8800000000</v>
      </c>
      <c r="G350" s="1">
        <v>43373</v>
      </c>
      <c r="H350" t="s">
        <v>13</v>
      </c>
      <c r="I350" t="s">
        <v>14</v>
      </c>
    </row>
    <row r="351" spans="1:9" x14ac:dyDescent="0.2">
      <c r="A351">
        <v>320193</v>
      </c>
      <c r="B351" t="s">
        <v>9</v>
      </c>
      <c r="C351" t="s">
        <v>111</v>
      </c>
      <c r="D351" t="s">
        <v>112</v>
      </c>
      <c r="E351" t="s">
        <v>12</v>
      </c>
      <c r="F351">
        <v>8100000000</v>
      </c>
      <c r="G351" s="1">
        <v>43737</v>
      </c>
      <c r="H351" t="s">
        <v>13</v>
      </c>
      <c r="I351" t="s">
        <v>14</v>
      </c>
    </row>
    <row r="352" spans="1:9" x14ac:dyDescent="0.2">
      <c r="A352">
        <v>320193</v>
      </c>
      <c r="B352" t="s">
        <v>100</v>
      </c>
      <c r="C352" t="s">
        <v>111</v>
      </c>
      <c r="D352" t="s">
        <v>112</v>
      </c>
      <c r="E352" t="s">
        <v>12</v>
      </c>
      <c r="F352">
        <v>8100000000</v>
      </c>
      <c r="G352" s="1">
        <v>43737</v>
      </c>
      <c r="H352" t="s">
        <v>13</v>
      </c>
      <c r="I352" t="s">
        <v>14</v>
      </c>
    </row>
    <row r="353" spans="1:9" x14ac:dyDescent="0.2">
      <c r="A353">
        <v>320193</v>
      </c>
      <c r="B353" t="s">
        <v>99</v>
      </c>
      <c r="C353" t="s">
        <v>111</v>
      </c>
      <c r="D353" t="s">
        <v>112</v>
      </c>
      <c r="E353" t="s">
        <v>12</v>
      </c>
      <c r="F353">
        <v>10200000000</v>
      </c>
      <c r="G353" s="1">
        <v>44101</v>
      </c>
      <c r="H353" t="s">
        <v>13</v>
      </c>
      <c r="I353" t="s">
        <v>14</v>
      </c>
    </row>
    <row r="354" spans="1:9" x14ac:dyDescent="0.2">
      <c r="A354">
        <v>320193</v>
      </c>
      <c r="B354" t="s">
        <v>100</v>
      </c>
      <c r="C354" t="s">
        <v>111</v>
      </c>
      <c r="D354" t="s">
        <v>112</v>
      </c>
      <c r="E354" t="s">
        <v>12</v>
      </c>
      <c r="F354">
        <v>10200000000</v>
      </c>
      <c r="G354" s="1">
        <v>44101</v>
      </c>
      <c r="H354" t="s">
        <v>13</v>
      </c>
      <c r="I354" t="s">
        <v>14</v>
      </c>
    </row>
    <row r="355" spans="1:9" x14ac:dyDescent="0.2">
      <c r="A355">
        <v>320193</v>
      </c>
      <c r="B355" t="s">
        <v>97</v>
      </c>
      <c r="C355" t="s">
        <v>111</v>
      </c>
      <c r="D355" t="s">
        <v>112</v>
      </c>
      <c r="E355" t="s">
        <v>12</v>
      </c>
      <c r="F355">
        <v>11900000000</v>
      </c>
      <c r="G355" s="1">
        <v>44465</v>
      </c>
      <c r="H355" t="s">
        <v>13</v>
      </c>
      <c r="I355" t="s">
        <v>14</v>
      </c>
    </row>
    <row r="356" spans="1:9" x14ac:dyDescent="0.2">
      <c r="A356">
        <v>320193</v>
      </c>
      <c r="B356" t="s">
        <v>99</v>
      </c>
      <c r="C356" t="s">
        <v>111</v>
      </c>
      <c r="D356" t="s">
        <v>112</v>
      </c>
      <c r="E356" t="s">
        <v>12</v>
      </c>
      <c r="F356">
        <v>11900000000</v>
      </c>
      <c r="G356" s="1">
        <v>44465</v>
      </c>
      <c r="H356" t="s">
        <v>13</v>
      </c>
      <c r="I356" t="s">
        <v>14</v>
      </c>
    </row>
    <row r="357" spans="1:9" x14ac:dyDescent="0.2">
      <c r="A357">
        <v>320193</v>
      </c>
      <c r="B357" t="s">
        <v>97</v>
      </c>
      <c r="C357" t="s">
        <v>111</v>
      </c>
      <c r="D357" t="s">
        <v>112</v>
      </c>
      <c r="E357" t="s">
        <v>12</v>
      </c>
      <c r="F357">
        <v>12400000000</v>
      </c>
      <c r="G357" s="1">
        <v>44829</v>
      </c>
      <c r="H357" t="s">
        <v>13</v>
      </c>
      <c r="I357" t="s">
        <v>14</v>
      </c>
    </row>
    <row r="358" spans="1:9" x14ac:dyDescent="0.2">
      <c r="A358">
        <v>320193</v>
      </c>
      <c r="B358" t="s">
        <v>101</v>
      </c>
      <c r="C358" t="s">
        <v>111</v>
      </c>
      <c r="D358" t="s">
        <v>112</v>
      </c>
      <c r="E358" t="s">
        <v>12</v>
      </c>
      <c r="F358">
        <v>12400000000</v>
      </c>
      <c r="G358" s="1">
        <v>44829</v>
      </c>
      <c r="H358" t="s">
        <v>13</v>
      </c>
      <c r="I358" t="s">
        <v>14</v>
      </c>
    </row>
    <row r="359" spans="1:9" x14ac:dyDescent="0.2">
      <c r="A359">
        <v>320193</v>
      </c>
      <c r="B359" t="s">
        <v>98</v>
      </c>
      <c r="C359" t="s">
        <v>111</v>
      </c>
      <c r="D359" t="s">
        <v>112</v>
      </c>
      <c r="E359" t="s">
        <v>12</v>
      </c>
      <c r="F359">
        <v>12100000000</v>
      </c>
      <c r="G359" s="1">
        <v>45200</v>
      </c>
      <c r="H359" t="s">
        <v>13</v>
      </c>
      <c r="I359" t="s">
        <v>14</v>
      </c>
    </row>
    <row r="360" spans="1:9" x14ac:dyDescent="0.2">
      <c r="A360">
        <v>320193</v>
      </c>
      <c r="B360" t="s">
        <v>101</v>
      </c>
      <c r="C360" t="s">
        <v>111</v>
      </c>
      <c r="D360" t="s">
        <v>112</v>
      </c>
      <c r="E360" t="s">
        <v>12</v>
      </c>
      <c r="F360">
        <v>12100000000</v>
      </c>
      <c r="G360" s="1">
        <v>45200</v>
      </c>
      <c r="H360" t="s">
        <v>13</v>
      </c>
      <c r="I360" t="s">
        <v>14</v>
      </c>
    </row>
    <row r="361" spans="1:9" x14ac:dyDescent="0.2">
      <c r="A361">
        <v>320193</v>
      </c>
      <c r="B361" t="s">
        <v>88</v>
      </c>
      <c r="C361" t="s">
        <v>111</v>
      </c>
      <c r="D361" t="s">
        <v>112</v>
      </c>
      <c r="E361" t="s">
        <v>12</v>
      </c>
      <c r="F361">
        <v>12800000000</v>
      </c>
      <c r="G361" s="1">
        <v>45564</v>
      </c>
      <c r="H361" t="s">
        <v>13</v>
      </c>
      <c r="I361" t="s">
        <v>14</v>
      </c>
    </row>
    <row r="362" spans="1:9" x14ac:dyDescent="0.2">
      <c r="A362">
        <v>320193</v>
      </c>
      <c r="B362" t="s">
        <v>98</v>
      </c>
      <c r="C362" t="s">
        <v>111</v>
      </c>
      <c r="D362" t="s">
        <v>112</v>
      </c>
      <c r="E362" t="s">
        <v>12</v>
      </c>
      <c r="F362">
        <v>12800000000</v>
      </c>
      <c r="G362" s="1">
        <v>45564</v>
      </c>
      <c r="H362" t="s">
        <v>13</v>
      </c>
      <c r="I362" t="s">
        <v>14</v>
      </c>
    </row>
    <row r="363" spans="1:9" x14ac:dyDescent="0.2">
      <c r="A363">
        <v>320193</v>
      </c>
      <c r="B363" t="s">
        <v>88</v>
      </c>
      <c r="C363" t="s">
        <v>111</v>
      </c>
      <c r="D363" t="s">
        <v>112</v>
      </c>
      <c r="E363" t="s">
        <v>12</v>
      </c>
      <c r="F363">
        <v>13700000000</v>
      </c>
      <c r="G363" s="1">
        <v>45928</v>
      </c>
      <c r="H363" t="s">
        <v>13</v>
      </c>
      <c r="I363" t="s">
        <v>14</v>
      </c>
    </row>
    <row r="364" spans="1:9" x14ac:dyDescent="0.2">
      <c r="A364">
        <v>320193</v>
      </c>
      <c r="B364" t="s">
        <v>9</v>
      </c>
      <c r="C364" t="s">
        <v>68</v>
      </c>
      <c r="D364" t="s">
        <v>69</v>
      </c>
      <c r="E364" t="s">
        <v>12</v>
      </c>
      <c r="F364">
        <v>5966000000</v>
      </c>
      <c r="G364" s="1">
        <v>43009</v>
      </c>
      <c r="H364" t="s">
        <v>13</v>
      </c>
      <c r="I364" t="s">
        <v>14</v>
      </c>
    </row>
    <row r="365" spans="1:9" x14ac:dyDescent="0.2">
      <c r="A365">
        <v>320193</v>
      </c>
      <c r="B365" t="s">
        <v>9</v>
      </c>
      <c r="C365" t="s">
        <v>68</v>
      </c>
      <c r="D365" t="s">
        <v>69</v>
      </c>
      <c r="E365" t="s">
        <v>12</v>
      </c>
      <c r="F365">
        <v>-32590000000</v>
      </c>
      <c r="G365" s="1">
        <v>43373</v>
      </c>
      <c r="H365" t="s">
        <v>13</v>
      </c>
      <c r="I365" t="s">
        <v>14</v>
      </c>
    </row>
    <row r="366" spans="1:9" x14ac:dyDescent="0.2">
      <c r="A366">
        <v>320193</v>
      </c>
      <c r="B366" t="s">
        <v>100</v>
      </c>
      <c r="C366" t="s">
        <v>68</v>
      </c>
      <c r="D366" t="s">
        <v>69</v>
      </c>
      <c r="E366" t="s">
        <v>12</v>
      </c>
      <c r="F366">
        <v>-32590000000</v>
      </c>
      <c r="G366" s="1">
        <v>43373</v>
      </c>
      <c r="H366" t="s">
        <v>13</v>
      </c>
      <c r="I366" t="s">
        <v>14</v>
      </c>
    </row>
    <row r="367" spans="1:9" x14ac:dyDescent="0.2">
      <c r="A367">
        <v>320193</v>
      </c>
      <c r="B367" t="s">
        <v>9</v>
      </c>
      <c r="C367" t="s">
        <v>68</v>
      </c>
      <c r="D367" t="s">
        <v>69</v>
      </c>
      <c r="E367" t="s">
        <v>12</v>
      </c>
      <c r="F367">
        <v>-340000000</v>
      </c>
      <c r="G367" s="1">
        <v>43737</v>
      </c>
      <c r="H367" t="s">
        <v>13</v>
      </c>
      <c r="I367" t="s">
        <v>14</v>
      </c>
    </row>
    <row r="368" spans="1:9" x14ac:dyDescent="0.2">
      <c r="A368">
        <v>320193</v>
      </c>
      <c r="B368" t="s">
        <v>99</v>
      </c>
      <c r="C368" t="s">
        <v>68</v>
      </c>
      <c r="D368" t="s">
        <v>69</v>
      </c>
      <c r="E368" t="s">
        <v>12</v>
      </c>
      <c r="F368">
        <v>-340000000</v>
      </c>
      <c r="G368" s="1">
        <v>43737</v>
      </c>
      <c r="H368" t="s">
        <v>13</v>
      </c>
      <c r="I368" t="s">
        <v>14</v>
      </c>
    </row>
    <row r="369" spans="1:9" x14ac:dyDescent="0.2">
      <c r="A369">
        <v>320193</v>
      </c>
      <c r="B369" t="s">
        <v>100</v>
      </c>
      <c r="C369" t="s">
        <v>68</v>
      </c>
      <c r="D369" t="s">
        <v>69</v>
      </c>
      <c r="E369" t="s">
        <v>12</v>
      </c>
      <c r="F369">
        <v>-340000000</v>
      </c>
      <c r="G369" s="1">
        <v>43737</v>
      </c>
      <c r="H369" t="s">
        <v>13</v>
      </c>
      <c r="I369" t="s">
        <v>14</v>
      </c>
    </row>
    <row r="370" spans="1:9" x14ac:dyDescent="0.2">
      <c r="A370">
        <v>320193</v>
      </c>
      <c r="B370" t="s">
        <v>97</v>
      </c>
      <c r="C370" t="s">
        <v>68</v>
      </c>
      <c r="D370" t="s">
        <v>69</v>
      </c>
      <c r="E370" t="s">
        <v>12</v>
      </c>
      <c r="F370">
        <v>-215000000</v>
      </c>
      <c r="G370" s="1">
        <v>44101</v>
      </c>
      <c r="H370" t="s">
        <v>13</v>
      </c>
      <c r="I370" t="s">
        <v>14</v>
      </c>
    </row>
    <row r="371" spans="1:9" x14ac:dyDescent="0.2">
      <c r="A371">
        <v>320193</v>
      </c>
      <c r="B371" t="s">
        <v>99</v>
      </c>
      <c r="C371" t="s">
        <v>68</v>
      </c>
      <c r="D371" t="s">
        <v>69</v>
      </c>
      <c r="E371" t="s">
        <v>12</v>
      </c>
      <c r="F371">
        <v>-215000000</v>
      </c>
      <c r="G371" s="1">
        <v>44101</v>
      </c>
      <c r="H371" t="s">
        <v>13</v>
      </c>
      <c r="I371" t="s">
        <v>14</v>
      </c>
    </row>
    <row r="372" spans="1:9" x14ac:dyDescent="0.2">
      <c r="A372">
        <v>320193</v>
      </c>
      <c r="B372" t="s">
        <v>100</v>
      </c>
      <c r="C372" t="s">
        <v>68</v>
      </c>
      <c r="D372" t="s">
        <v>69</v>
      </c>
      <c r="E372" t="s">
        <v>12</v>
      </c>
      <c r="F372">
        <v>-215000000</v>
      </c>
      <c r="G372" s="1">
        <v>44101</v>
      </c>
      <c r="H372" t="s">
        <v>13</v>
      </c>
      <c r="I372" t="s">
        <v>14</v>
      </c>
    </row>
    <row r="373" spans="1:9" x14ac:dyDescent="0.2">
      <c r="A373">
        <v>320193</v>
      </c>
      <c r="B373" t="s">
        <v>97</v>
      </c>
      <c r="C373" t="s">
        <v>68</v>
      </c>
      <c r="D373" t="s">
        <v>69</v>
      </c>
      <c r="E373" t="s">
        <v>12</v>
      </c>
      <c r="F373">
        <v>-4774000000</v>
      </c>
      <c r="G373" s="1">
        <v>44465</v>
      </c>
      <c r="H373" t="s">
        <v>13</v>
      </c>
      <c r="I373" t="s">
        <v>14</v>
      </c>
    </row>
    <row r="374" spans="1:9" x14ac:dyDescent="0.2">
      <c r="A374">
        <v>320193</v>
      </c>
      <c r="B374" t="s">
        <v>99</v>
      </c>
      <c r="C374" t="s">
        <v>68</v>
      </c>
      <c r="D374" t="s">
        <v>69</v>
      </c>
      <c r="E374" t="s">
        <v>12</v>
      </c>
      <c r="F374">
        <v>-4774000000</v>
      </c>
      <c r="G374" s="1">
        <v>44465</v>
      </c>
      <c r="H374" t="s">
        <v>13</v>
      </c>
      <c r="I374" t="s">
        <v>14</v>
      </c>
    </row>
    <row r="375" spans="1:9" x14ac:dyDescent="0.2">
      <c r="A375">
        <v>320193</v>
      </c>
      <c r="B375" t="s">
        <v>97</v>
      </c>
      <c r="C375" t="s">
        <v>68</v>
      </c>
      <c r="D375" t="s">
        <v>69</v>
      </c>
      <c r="E375" t="s">
        <v>12</v>
      </c>
      <c r="F375">
        <v>895000000</v>
      </c>
      <c r="G375" s="1">
        <v>44829</v>
      </c>
      <c r="H375" t="s">
        <v>13</v>
      </c>
      <c r="I375" t="s">
        <v>14</v>
      </c>
    </row>
    <row r="376" spans="1:9" x14ac:dyDescent="0.2">
      <c r="A376">
        <v>320193</v>
      </c>
      <c r="B376" t="s">
        <v>9</v>
      </c>
      <c r="C376" t="s">
        <v>66</v>
      </c>
      <c r="D376" t="s">
        <v>67</v>
      </c>
      <c r="E376" t="s">
        <v>12</v>
      </c>
      <c r="F376">
        <v>10157000000</v>
      </c>
      <c r="G376" s="1">
        <v>43009</v>
      </c>
      <c r="H376" t="s">
        <v>13</v>
      </c>
      <c r="I376" t="s">
        <v>14</v>
      </c>
    </row>
    <row r="377" spans="1:9" x14ac:dyDescent="0.2">
      <c r="A377">
        <v>320193</v>
      </c>
      <c r="B377" t="s">
        <v>9</v>
      </c>
      <c r="C377" t="s">
        <v>66</v>
      </c>
      <c r="D377" t="s">
        <v>67</v>
      </c>
      <c r="E377" t="s">
        <v>12</v>
      </c>
      <c r="F377">
        <v>10903000000</v>
      </c>
      <c r="G377" s="1">
        <v>43373</v>
      </c>
      <c r="H377" t="s">
        <v>13</v>
      </c>
      <c r="I377" t="s">
        <v>14</v>
      </c>
    </row>
    <row r="378" spans="1:9" x14ac:dyDescent="0.2">
      <c r="A378">
        <v>320193</v>
      </c>
      <c r="B378" t="s">
        <v>100</v>
      </c>
      <c r="C378" t="s">
        <v>66</v>
      </c>
      <c r="D378" t="s">
        <v>67</v>
      </c>
      <c r="E378" t="s">
        <v>12</v>
      </c>
      <c r="F378">
        <v>10903000000</v>
      </c>
      <c r="G378" s="1">
        <v>43373</v>
      </c>
      <c r="H378" t="s">
        <v>13</v>
      </c>
      <c r="I378" t="s">
        <v>14</v>
      </c>
    </row>
    <row r="379" spans="1:9" x14ac:dyDescent="0.2">
      <c r="A379">
        <v>320193</v>
      </c>
      <c r="B379" t="s">
        <v>9</v>
      </c>
      <c r="C379" t="s">
        <v>66</v>
      </c>
      <c r="D379" t="s">
        <v>67</v>
      </c>
      <c r="E379" t="s">
        <v>12</v>
      </c>
      <c r="F379">
        <v>12547000000</v>
      </c>
      <c r="G379" s="1">
        <v>43737</v>
      </c>
      <c r="H379" t="s">
        <v>13</v>
      </c>
      <c r="I379" t="s">
        <v>14</v>
      </c>
    </row>
    <row r="380" spans="1:9" x14ac:dyDescent="0.2">
      <c r="A380">
        <v>320193</v>
      </c>
      <c r="B380" t="s">
        <v>99</v>
      </c>
      <c r="C380" t="s">
        <v>66</v>
      </c>
      <c r="D380" t="s">
        <v>67</v>
      </c>
      <c r="E380" t="s">
        <v>12</v>
      </c>
      <c r="F380">
        <v>12547000000</v>
      </c>
      <c r="G380" s="1">
        <v>43737</v>
      </c>
      <c r="H380" t="s">
        <v>13</v>
      </c>
      <c r="I380" t="s">
        <v>14</v>
      </c>
    </row>
    <row r="381" spans="1:9" x14ac:dyDescent="0.2">
      <c r="A381">
        <v>320193</v>
      </c>
      <c r="B381" t="s">
        <v>100</v>
      </c>
      <c r="C381" t="s">
        <v>66</v>
      </c>
      <c r="D381" t="s">
        <v>67</v>
      </c>
      <c r="E381" t="s">
        <v>12</v>
      </c>
      <c r="F381">
        <v>12547000000</v>
      </c>
      <c r="G381" s="1">
        <v>43737</v>
      </c>
      <c r="H381" t="s">
        <v>13</v>
      </c>
      <c r="I381" t="s">
        <v>14</v>
      </c>
    </row>
    <row r="382" spans="1:9" x14ac:dyDescent="0.2">
      <c r="A382">
        <v>320193</v>
      </c>
      <c r="B382" t="s">
        <v>97</v>
      </c>
      <c r="C382" t="s">
        <v>66</v>
      </c>
      <c r="D382" t="s">
        <v>67</v>
      </c>
      <c r="E382" t="s">
        <v>12</v>
      </c>
      <c r="F382">
        <v>11056000000</v>
      </c>
      <c r="G382" s="1">
        <v>44101</v>
      </c>
      <c r="H382" t="s">
        <v>13</v>
      </c>
      <c r="I382" t="s">
        <v>14</v>
      </c>
    </row>
    <row r="383" spans="1:9" x14ac:dyDescent="0.2">
      <c r="A383">
        <v>320193</v>
      </c>
      <c r="B383" t="s">
        <v>99</v>
      </c>
      <c r="C383" t="s">
        <v>66</v>
      </c>
      <c r="D383" t="s">
        <v>67</v>
      </c>
      <c r="E383" t="s">
        <v>12</v>
      </c>
      <c r="F383">
        <v>11056000000</v>
      </c>
      <c r="G383" s="1">
        <v>44101</v>
      </c>
      <c r="H383" t="s">
        <v>13</v>
      </c>
      <c r="I383" t="s">
        <v>14</v>
      </c>
    </row>
    <row r="384" spans="1:9" x14ac:dyDescent="0.2">
      <c r="A384">
        <v>320193</v>
      </c>
      <c r="B384" t="s">
        <v>100</v>
      </c>
      <c r="C384" t="s">
        <v>66</v>
      </c>
      <c r="D384" t="s">
        <v>67</v>
      </c>
      <c r="E384" t="s">
        <v>12</v>
      </c>
      <c r="F384">
        <v>11056000000</v>
      </c>
      <c r="G384" s="1">
        <v>44101</v>
      </c>
      <c r="H384" t="s">
        <v>13</v>
      </c>
      <c r="I384" t="s">
        <v>14</v>
      </c>
    </row>
    <row r="385" spans="1:9" x14ac:dyDescent="0.2">
      <c r="A385">
        <v>320193</v>
      </c>
      <c r="B385" t="s">
        <v>97</v>
      </c>
      <c r="C385" t="s">
        <v>66</v>
      </c>
      <c r="D385" t="s">
        <v>67</v>
      </c>
      <c r="E385" t="s">
        <v>12</v>
      </c>
      <c r="F385">
        <v>11284000000</v>
      </c>
      <c r="G385" s="1">
        <v>44465</v>
      </c>
      <c r="H385" t="s">
        <v>13</v>
      </c>
      <c r="I385" t="s">
        <v>14</v>
      </c>
    </row>
    <row r="386" spans="1:9" x14ac:dyDescent="0.2">
      <c r="A386">
        <v>320193</v>
      </c>
      <c r="B386" t="s">
        <v>99</v>
      </c>
      <c r="C386" t="s">
        <v>66</v>
      </c>
      <c r="D386" t="s">
        <v>67</v>
      </c>
      <c r="E386" t="s">
        <v>12</v>
      </c>
      <c r="F386">
        <v>11284000000</v>
      </c>
      <c r="G386" s="1">
        <v>44465</v>
      </c>
      <c r="H386" t="s">
        <v>13</v>
      </c>
      <c r="I386" t="s">
        <v>14</v>
      </c>
    </row>
    <row r="387" spans="1:9" x14ac:dyDescent="0.2">
      <c r="A387">
        <v>320193</v>
      </c>
      <c r="B387" t="s">
        <v>101</v>
      </c>
      <c r="C387" t="s">
        <v>66</v>
      </c>
      <c r="D387" t="s">
        <v>67</v>
      </c>
      <c r="E387" t="s">
        <v>12</v>
      </c>
      <c r="F387">
        <v>11284000000</v>
      </c>
      <c r="G387" s="1">
        <v>44465</v>
      </c>
      <c r="H387" t="s">
        <v>13</v>
      </c>
      <c r="I387" t="s">
        <v>14</v>
      </c>
    </row>
    <row r="388" spans="1:9" x14ac:dyDescent="0.2">
      <c r="A388">
        <v>320193</v>
      </c>
      <c r="B388" t="s">
        <v>97</v>
      </c>
      <c r="C388" t="s">
        <v>66</v>
      </c>
      <c r="D388" t="s">
        <v>67</v>
      </c>
      <c r="E388" t="s">
        <v>12</v>
      </c>
      <c r="F388">
        <v>11104000000</v>
      </c>
      <c r="G388" s="1">
        <v>44829</v>
      </c>
      <c r="H388" t="s">
        <v>13</v>
      </c>
      <c r="I388" t="s">
        <v>14</v>
      </c>
    </row>
    <row r="389" spans="1:9" x14ac:dyDescent="0.2">
      <c r="A389">
        <v>320193</v>
      </c>
      <c r="B389" t="s">
        <v>98</v>
      </c>
      <c r="C389" t="s">
        <v>66</v>
      </c>
      <c r="D389" t="s">
        <v>67</v>
      </c>
      <c r="E389" t="s">
        <v>12</v>
      </c>
      <c r="F389">
        <v>11104000000</v>
      </c>
      <c r="G389" s="1">
        <v>44829</v>
      </c>
      <c r="H389" t="s">
        <v>13</v>
      </c>
      <c r="I389" t="s">
        <v>14</v>
      </c>
    </row>
    <row r="390" spans="1:9" x14ac:dyDescent="0.2">
      <c r="A390">
        <v>320193</v>
      </c>
      <c r="B390" t="s">
        <v>101</v>
      </c>
      <c r="C390" t="s">
        <v>66</v>
      </c>
      <c r="D390" t="s">
        <v>67</v>
      </c>
      <c r="E390" t="s">
        <v>12</v>
      </c>
      <c r="F390">
        <v>11104000000</v>
      </c>
      <c r="G390" s="1">
        <v>44829</v>
      </c>
      <c r="H390" t="s">
        <v>13</v>
      </c>
      <c r="I390" t="s">
        <v>14</v>
      </c>
    </row>
    <row r="391" spans="1:9" x14ac:dyDescent="0.2">
      <c r="A391">
        <v>320193</v>
      </c>
      <c r="B391" t="s">
        <v>88</v>
      </c>
      <c r="C391" t="s">
        <v>66</v>
      </c>
      <c r="D391" t="s">
        <v>67</v>
      </c>
      <c r="E391" t="s">
        <v>12</v>
      </c>
      <c r="F391">
        <v>11519000000</v>
      </c>
      <c r="G391" s="1">
        <v>45200</v>
      </c>
      <c r="H391" t="s">
        <v>13</v>
      </c>
      <c r="I391" t="s">
        <v>14</v>
      </c>
    </row>
    <row r="392" spans="1:9" x14ac:dyDescent="0.2">
      <c r="A392">
        <v>320193</v>
      </c>
      <c r="B392" t="s">
        <v>98</v>
      </c>
      <c r="C392" t="s">
        <v>66</v>
      </c>
      <c r="D392" t="s">
        <v>67</v>
      </c>
      <c r="E392" t="s">
        <v>12</v>
      </c>
      <c r="F392">
        <v>11519000000</v>
      </c>
      <c r="G392" s="1">
        <v>45200</v>
      </c>
      <c r="H392" t="s">
        <v>13</v>
      </c>
      <c r="I392" t="s">
        <v>14</v>
      </c>
    </row>
    <row r="393" spans="1:9" x14ac:dyDescent="0.2">
      <c r="A393">
        <v>320193</v>
      </c>
      <c r="B393" t="s">
        <v>101</v>
      </c>
      <c r="C393" t="s">
        <v>66</v>
      </c>
      <c r="D393" t="s">
        <v>67</v>
      </c>
      <c r="E393" t="s">
        <v>12</v>
      </c>
      <c r="F393">
        <v>11519000000</v>
      </c>
      <c r="G393" s="1">
        <v>45200</v>
      </c>
      <c r="H393" t="s">
        <v>13</v>
      </c>
      <c r="I393" t="s">
        <v>14</v>
      </c>
    </row>
    <row r="394" spans="1:9" x14ac:dyDescent="0.2">
      <c r="A394">
        <v>320193</v>
      </c>
      <c r="B394" t="s">
        <v>88</v>
      </c>
      <c r="C394" t="s">
        <v>66</v>
      </c>
      <c r="D394" t="s">
        <v>67</v>
      </c>
      <c r="E394" t="s">
        <v>12</v>
      </c>
      <c r="F394">
        <v>11445000000</v>
      </c>
      <c r="G394" s="1">
        <v>45564</v>
      </c>
      <c r="H394" t="s">
        <v>13</v>
      </c>
      <c r="I394" t="s">
        <v>14</v>
      </c>
    </row>
    <row r="395" spans="1:9" x14ac:dyDescent="0.2">
      <c r="A395">
        <v>320193</v>
      </c>
      <c r="B395" t="s">
        <v>98</v>
      </c>
      <c r="C395" t="s">
        <v>66</v>
      </c>
      <c r="D395" t="s">
        <v>67</v>
      </c>
      <c r="E395" t="s">
        <v>12</v>
      </c>
      <c r="F395">
        <v>11445000000</v>
      </c>
      <c r="G395" s="1">
        <v>45564</v>
      </c>
      <c r="H395" t="s">
        <v>13</v>
      </c>
      <c r="I395" t="s">
        <v>14</v>
      </c>
    </row>
    <row r="396" spans="1:9" x14ac:dyDescent="0.2">
      <c r="A396">
        <v>320193</v>
      </c>
      <c r="B396" t="s">
        <v>88</v>
      </c>
      <c r="C396" t="s">
        <v>66</v>
      </c>
      <c r="D396" t="s">
        <v>67</v>
      </c>
      <c r="E396" t="s">
        <v>12</v>
      </c>
      <c r="F396">
        <v>11698000000</v>
      </c>
      <c r="G396" s="1">
        <v>45928</v>
      </c>
      <c r="H396" t="s">
        <v>13</v>
      </c>
      <c r="I396" t="s">
        <v>14</v>
      </c>
    </row>
    <row r="397" spans="1:9" x14ac:dyDescent="0.2">
      <c r="A397">
        <v>320193</v>
      </c>
      <c r="B397" t="s">
        <v>9</v>
      </c>
      <c r="C397" t="s">
        <v>33</v>
      </c>
      <c r="D397" t="s">
        <v>34</v>
      </c>
      <c r="E397" t="s">
        <v>12</v>
      </c>
      <c r="F397">
        <v>9.2100000000000009</v>
      </c>
      <c r="G397" s="1">
        <v>43009</v>
      </c>
      <c r="H397" t="s">
        <v>13</v>
      </c>
      <c r="I397" t="s">
        <v>14</v>
      </c>
    </row>
    <row r="398" spans="1:9" x14ac:dyDescent="0.2">
      <c r="A398">
        <v>320193</v>
      </c>
      <c r="B398" t="s">
        <v>9</v>
      </c>
      <c r="C398" t="s">
        <v>33</v>
      </c>
      <c r="D398" t="s">
        <v>34</v>
      </c>
      <c r="E398" t="s">
        <v>12</v>
      </c>
      <c r="F398">
        <v>9.2100000000000009</v>
      </c>
      <c r="G398" s="1">
        <v>43009</v>
      </c>
      <c r="H398" t="s">
        <v>13</v>
      </c>
      <c r="I398" t="s">
        <v>14</v>
      </c>
    </row>
    <row r="399" spans="1:9" x14ac:dyDescent="0.2">
      <c r="A399">
        <v>320193</v>
      </c>
      <c r="B399" t="s">
        <v>9</v>
      </c>
      <c r="C399" t="s">
        <v>33</v>
      </c>
      <c r="D399" t="s">
        <v>34</v>
      </c>
      <c r="E399" t="s">
        <v>12</v>
      </c>
      <c r="F399">
        <v>3.89</v>
      </c>
      <c r="G399" s="1">
        <v>43100</v>
      </c>
      <c r="H399" t="s">
        <v>13</v>
      </c>
      <c r="I399" t="s">
        <v>14</v>
      </c>
    </row>
    <row r="400" spans="1:9" x14ac:dyDescent="0.2">
      <c r="A400">
        <v>320193</v>
      </c>
      <c r="B400" t="s">
        <v>9</v>
      </c>
      <c r="C400" t="s">
        <v>33</v>
      </c>
      <c r="D400" t="s">
        <v>34</v>
      </c>
      <c r="E400" t="s">
        <v>12</v>
      </c>
      <c r="F400">
        <v>2.73</v>
      </c>
      <c r="G400" s="1">
        <v>43191</v>
      </c>
      <c r="H400" t="s">
        <v>13</v>
      </c>
      <c r="I400" t="s">
        <v>14</v>
      </c>
    </row>
    <row r="401" spans="1:9" x14ac:dyDescent="0.2">
      <c r="A401">
        <v>320193</v>
      </c>
      <c r="B401" t="s">
        <v>9</v>
      </c>
      <c r="C401" t="s">
        <v>33</v>
      </c>
      <c r="D401" t="s">
        <v>34</v>
      </c>
      <c r="E401" t="s">
        <v>12</v>
      </c>
      <c r="F401">
        <v>2.34</v>
      </c>
      <c r="G401" s="1">
        <v>43282</v>
      </c>
      <c r="H401" t="s">
        <v>13</v>
      </c>
      <c r="I401" t="s">
        <v>14</v>
      </c>
    </row>
    <row r="402" spans="1:9" x14ac:dyDescent="0.2">
      <c r="A402">
        <v>320193</v>
      </c>
      <c r="B402" t="s">
        <v>9</v>
      </c>
      <c r="C402" t="s">
        <v>33</v>
      </c>
      <c r="D402" t="s">
        <v>34</v>
      </c>
      <c r="E402" t="s">
        <v>12</v>
      </c>
      <c r="F402">
        <v>11.91</v>
      </c>
      <c r="G402" s="1">
        <v>43373</v>
      </c>
      <c r="H402" t="s">
        <v>13</v>
      </c>
      <c r="I402" t="s">
        <v>14</v>
      </c>
    </row>
    <row r="403" spans="1:9" x14ac:dyDescent="0.2">
      <c r="A403">
        <v>320193</v>
      </c>
      <c r="B403" t="s">
        <v>9</v>
      </c>
      <c r="C403" t="s">
        <v>33</v>
      </c>
      <c r="D403" t="s">
        <v>34</v>
      </c>
      <c r="E403" t="s">
        <v>12</v>
      </c>
      <c r="F403">
        <v>11.91</v>
      </c>
      <c r="G403" s="1">
        <v>43373</v>
      </c>
      <c r="H403" t="s">
        <v>13</v>
      </c>
      <c r="I403" t="s">
        <v>14</v>
      </c>
    </row>
    <row r="404" spans="1:9" x14ac:dyDescent="0.2">
      <c r="A404">
        <v>320193</v>
      </c>
      <c r="B404" t="s">
        <v>9</v>
      </c>
      <c r="C404" t="s">
        <v>33</v>
      </c>
      <c r="D404" t="s">
        <v>34</v>
      </c>
      <c r="E404" t="s">
        <v>12</v>
      </c>
      <c r="F404">
        <v>2.91</v>
      </c>
      <c r="G404" s="1">
        <v>43373</v>
      </c>
      <c r="H404" t="s">
        <v>13</v>
      </c>
      <c r="I404" t="s">
        <v>14</v>
      </c>
    </row>
    <row r="405" spans="1:9" x14ac:dyDescent="0.2">
      <c r="A405">
        <v>320193</v>
      </c>
      <c r="B405" t="s">
        <v>100</v>
      </c>
      <c r="C405" t="s">
        <v>33</v>
      </c>
      <c r="D405" t="s">
        <v>34</v>
      </c>
      <c r="E405" t="s">
        <v>12</v>
      </c>
      <c r="F405">
        <v>2.98</v>
      </c>
      <c r="G405" s="1">
        <v>43373</v>
      </c>
      <c r="H405" t="s">
        <v>13</v>
      </c>
      <c r="I405" t="s">
        <v>14</v>
      </c>
    </row>
    <row r="406" spans="1:9" x14ac:dyDescent="0.2">
      <c r="A406">
        <v>320193</v>
      </c>
      <c r="B406" t="s">
        <v>100</v>
      </c>
      <c r="C406" t="s">
        <v>33</v>
      </c>
      <c r="D406" t="s">
        <v>34</v>
      </c>
      <c r="E406" t="s">
        <v>12</v>
      </c>
      <c r="F406">
        <v>2.98</v>
      </c>
      <c r="G406" s="1">
        <v>43373</v>
      </c>
      <c r="H406" t="s">
        <v>13</v>
      </c>
      <c r="I406" t="s">
        <v>14</v>
      </c>
    </row>
    <row r="407" spans="1:9" x14ac:dyDescent="0.2">
      <c r="A407">
        <v>320193</v>
      </c>
      <c r="B407" t="s">
        <v>9</v>
      </c>
      <c r="C407" t="s">
        <v>33</v>
      </c>
      <c r="D407" t="s">
        <v>34</v>
      </c>
      <c r="E407" t="s">
        <v>12</v>
      </c>
      <c r="F407">
        <v>4.18</v>
      </c>
      <c r="G407" s="1">
        <v>43464</v>
      </c>
      <c r="H407" t="s">
        <v>13</v>
      </c>
      <c r="I407" t="s">
        <v>14</v>
      </c>
    </row>
    <row r="408" spans="1:9" x14ac:dyDescent="0.2">
      <c r="A408">
        <v>320193</v>
      </c>
      <c r="B408" t="s">
        <v>100</v>
      </c>
      <c r="C408" t="s">
        <v>33</v>
      </c>
      <c r="D408" t="s">
        <v>34</v>
      </c>
      <c r="E408" t="s">
        <v>12</v>
      </c>
      <c r="F408">
        <v>1.05</v>
      </c>
      <c r="G408" s="1">
        <v>43464</v>
      </c>
      <c r="H408" t="s">
        <v>13</v>
      </c>
      <c r="I408" t="s">
        <v>14</v>
      </c>
    </row>
    <row r="409" spans="1:9" x14ac:dyDescent="0.2">
      <c r="A409">
        <v>320193</v>
      </c>
      <c r="B409" t="s">
        <v>9</v>
      </c>
      <c r="C409" t="s">
        <v>33</v>
      </c>
      <c r="D409" t="s">
        <v>34</v>
      </c>
      <c r="E409" t="s">
        <v>12</v>
      </c>
      <c r="F409">
        <v>2.46</v>
      </c>
      <c r="G409" s="1">
        <v>43555</v>
      </c>
      <c r="H409" t="s">
        <v>13</v>
      </c>
      <c r="I409" t="s">
        <v>14</v>
      </c>
    </row>
    <row r="410" spans="1:9" x14ac:dyDescent="0.2">
      <c r="A410">
        <v>320193</v>
      </c>
      <c r="B410" t="s">
        <v>100</v>
      </c>
      <c r="C410" t="s">
        <v>33</v>
      </c>
      <c r="D410" t="s">
        <v>34</v>
      </c>
      <c r="E410" t="s">
        <v>12</v>
      </c>
      <c r="F410">
        <v>0.61</v>
      </c>
      <c r="G410" s="1">
        <v>43555</v>
      </c>
      <c r="H410" t="s">
        <v>13</v>
      </c>
      <c r="I410" t="s">
        <v>14</v>
      </c>
    </row>
    <row r="411" spans="1:9" x14ac:dyDescent="0.2">
      <c r="A411">
        <v>320193</v>
      </c>
      <c r="B411" t="s">
        <v>9</v>
      </c>
      <c r="C411" t="s">
        <v>33</v>
      </c>
      <c r="D411" t="s">
        <v>34</v>
      </c>
      <c r="E411" t="s">
        <v>12</v>
      </c>
      <c r="F411">
        <v>2.1800000000000002</v>
      </c>
      <c r="G411" s="1">
        <v>43646</v>
      </c>
      <c r="H411" t="s">
        <v>13</v>
      </c>
      <c r="I411" t="s">
        <v>14</v>
      </c>
    </row>
    <row r="412" spans="1:9" x14ac:dyDescent="0.2">
      <c r="A412">
        <v>320193</v>
      </c>
      <c r="B412" t="s">
        <v>100</v>
      </c>
      <c r="C412" t="s">
        <v>33</v>
      </c>
      <c r="D412" t="s">
        <v>34</v>
      </c>
      <c r="E412" t="s">
        <v>12</v>
      </c>
      <c r="F412">
        <v>0.55000000000000004</v>
      </c>
      <c r="G412" s="1">
        <v>43646</v>
      </c>
      <c r="H412" t="s">
        <v>13</v>
      </c>
      <c r="I412" t="s">
        <v>14</v>
      </c>
    </row>
    <row r="413" spans="1:9" x14ac:dyDescent="0.2">
      <c r="A413">
        <v>320193</v>
      </c>
      <c r="B413" t="s">
        <v>9</v>
      </c>
      <c r="C413" t="s">
        <v>33</v>
      </c>
      <c r="D413" t="s">
        <v>34</v>
      </c>
      <c r="E413" t="s">
        <v>12</v>
      </c>
      <c r="F413">
        <v>11.89</v>
      </c>
      <c r="G413" s="1">
        <v>43737</v>
      </c>
      <c r="H413" t="s">
        <v>13</v>
      </c>
      <c r="I413" t="s">
        <v>14</v>
      </c>
    </row>
    <row r="414" spans="1:9" x14ac:dyDescent="0.2">
      <c r="A414">
        <v>320193</v>
      </c>
      <c r="B414" t="s">
        <v>9</v>
      </c>
      <c r="C414" t="s">
        <v>33</v>
      </c>
      <c r="D414" t="s">
        <v>34</v>
      </c>
      <c r="E414" t="s">
        <v>12</v>
      </c>
      <c r="F414">
        <v>11.89</v>
      </c>
      <c r="G414" s="1">
        <v>43737</v>
      </c>
      <c r="H414" t="s">
        <v>13</v>
      </c>
      <c r="I414" t="s">
        <v>14</v>
      </c>
    </row>
    <row r="415" spans="1:9" x14ac:dyDescent="0.2">
      <c r="A415">
        <v>320193</v>
      </c>
      <c r="B415" t="s">
        <v>9</v>
      </c>
      <c r="C415" t="s">
        <v>33</v>
      </c>
      <c r="D415" t="s">
        <v>34</v>
      </c>
      <c r="E415" t="s">
        <v>12</v>
      </c>
      <c r="F415">
        <v>3.03</v>
      </c>
      <c r="G415" s="1">
        <v>43737</v>
      </c>
      <c r="H415" t="s">
        <v>13</v>
      </c>
      <c r="I415" t="s">
        <v>14</v>
      </c>
    </row>
    <row r="416" spans="1:9" x14ac:dyDescent="0.2">
      <c r="A416">
        <v>320193</v>
      </c>
      <c r="B416" t="s">
        <v>99</v>
      </c>
      <c r="C416" t="s">
        <v>33</v>
      </c>
      <c r="D416" t="s">
        <v>34</v>
      </c>
      <c r="E416" t="s">
        <v>12</v>
      </c>
      <c r="F416">
        <v>2.97</v>
      </c>
      <c r="G416" s="1">
        <v>43737</v>
      </c>
      <c r="H416" t="s">
        <v>13</v>
      </c>
      <c r="I416" t="s">
        <v>14</v>
      </c>
    </row>
    <row r="417" spans="1:9" x14ac:dyDescent="0.2">
      <c r="A417">
        <v>320193</v>
      </c>
      <c r="B417" t="s">
        <v>99</v>
      </c>
      <c r="C417" t="s">
        <v>33</v>
      </c>
      <c r="D417" t="s">
        <v>34</v>
      </c>
      <c r="E417" t="s">
        <v>12</v>
      </c>
      <c r="F417">
        <v>2.97</v>
      </c>
      <c r="G417" s="1">
        <v>43737</v>
      </c>
      <c r="H417" t="s">
        <v>13</v>
      </c>
      <c r="I417" t="s">
        <v>14</v>
      </c>
    </row>
    <row r="418" spans="1:9" x14ac:dyDescent="0.2">
      <c r="A418">
        <v>320193</v>
      </c>
      <c r="B418" t="s">
        <v>100</v>
      </c>
      <c r="C418" t="s">
        <v>33</v>
      </c>
      <c r="D418" t="s">
        <v>34</v>
      </c>
      <c r="E418" t="s">
        <v>12</v>
      </c>
      <c r="F418">
        <v>2.97</v>
      </c>
      <c r="G418" s="1">
        <v>43737</v>
      </c>
      <c r="H418" t="s">
        <v>13</v>
      </c>
      <c r="I418" t="s">
        <v>14</v>
      </c>
    </row>
    <row r="419" spans="1:9" x14ac:dyDescent="0.2">
      <c r="A419">
        <v>320193</v>
      </c>
      <c r="B419" t="s">
        <v>100</v>
      </c>
      <c r="C419" t="s">
        <v>33</v>
      </c>
      <c r="D419" t="s">
        <v>34</v>
      </c>
      <c r="E419" t="s">
        <v>12</v>
      </c>
      <c r="F419">
        <v>2.97</v>
      </c>
      <c r="G419" s="1">
        <v>43737</v>
      </c>
      <c r="H419" t="s">
        <v>13</v>
      </c>
      <c r="I419" t="s">
        <v>14</v>
      </c>
    </row>
    <row r="420" spans="1:9" x14ac:dyDescent="0.2">
      <c r="A420">
        <v>320193</v>
      </c>
      <c r="B420" t="s">
        <v>100</v>
      </c>
      <c r="C420" t="s">
        <v>33</v>
      </c>
      <c r="D420" t="s">
        <v>34</v>
      </c>
      <c r="E420" t="s">
        <v>12</v>
      </c>
      <c r="F420">
        <v>0.76</v>
      </c>
      <c r="G420" s="1">
        <v>43737</v>
      </c>
      <c r="H420" t="s">
        <v>13</v>
      </c>
      <c r="I420" t="s">
        <v>14</v>
      </c>
    </row>
    <row r="421" spans="1:9" x14ac:dyDescent="0.2">
      <c r="A421">
        <v>320193</v>
      </c>
      <c r="B421" t="s">
        <v>100</v>
      </c>
      <c r="C421" t="s">
        <v>33</v>
      </c>
      <c r="D421" t="s">
        <v>34</v>
      </c>
      <c r="E421" t="s">
        <v>12</v>
      </c>
      <c r="F421">
        <v>1.25</v>
      </c>
      <c r="G421" s="1">
        <v>43828</v>
      </c>
      <c r="H421" t="s">
        <v>13</v>
      </c>
      <c r="I421" t="s">
        <v>14</v>
      </c>
    </row>
    <row r="422" spans="1:9" x14ac:dyDescent="0.2">
      <c r="A422">
        <v>320193</v>
      </c>
      <c r="B422" t="s">
        <v>100</v>
      </c>
      <c r="C422" t="s">
        <v>33</v>
      </c>
      <c r="D422" t="s">
        <v>34</v>
      </c>
      <c r="E422" t="s">
        <v>12</v>
      </c>
      <c r="F422">
        <v>0.64</v>
      </c>
      <c r="G422" s="1">
        <v>43919</v>
      </c>
      <c r="H422" t="s">
        <v>13</v>
      </c>
      <c r="I422" t="s">
        <v>14</v>
      </c>
    </row>
    <row r="423" spans="1:9" x14ac:dyDescent="0.2">
      <c r="A423">
        <v>320193</v>
      </c>
      <c r="B423" t="s">
        <v>100</v>
      </c>
      <c r="C423" t="s">
        <v>33</v>
      </c>
      <c r="D423" t="s">
        <v>34</v>
      </c>
      <c r="E423" t="s">
        <v>12</v>
      </c>
      <c r="F423">
        <v>0.65</v>
      </c>
      <c r="G423" s="1">
        <v>44010</v>
      </c>
      <c r="H423" t="s">
        <v>13</v>
      </c>
      <c r="I423" t="s">
        <v>14</v>
      </c>
    </row>
    <row r="424" spans="1:9" x14ac:dyDescent="0.2">
      <c r="A424">
        <v>320193</v>
      </c>
      <c r="B424" t="s">
        <v>97</v>
      </c>
      <c r="C424" t="s">
        <v>33</v>
      </c>
      <c r="D424" t="s">
        <v>34</v>
      </c>
      <c r="E424" t="s">
        <v>12</v>
      </c>
      <c r="F424">
        <v>3.28</v>
      </c>
      <c r="G424" s="1">
        <v>44101</v>
      </c>
      <c r="H424" t="s">
        <v>13</v>
      </c>
      <c r="I424" t="s">
        <v>14</v>
      </c>
    </row>
    <row r="425" spans="1:9" x14ac:dyDescent="0.2">
      <c r="A425">
        <v>320193</v>
      </c>
      <c r="B425" t="s">
        <v>97</v>
      </c>
      <c r="C425" t="s">
        <v>33</v>
      </c>
      <c r="D425" t="s">
        <v>34</v>
      </c>
      <c r="E425" t="s">
        <v>12</v>
      </c>
      <c r="F425">
        <v>3.28</v>
      </c>
      <c r="G425" s="1">
        <v>44101</v>
      </c>
      <c r="H425" t="s">
        <v>13</v>
      </c>
      <c r="I425" t="s">
        <v>14</v>
      </c>
    </row>
    <row r="426" spans="1:9" x14ac:dyDescent="0.2">
      <c r="A426">
        <v>320193</v>
      </c>
      <c r="B426" t="s">
        <v>99</v>
      </c>
      <c r="C426" t="s">
        <v>33</v>
      </c>
      <c r="D426" t="s">
        <v>34</v>
      </c>
      <c r="E426" t="s">
        <v>12</v>
      </c>
      <c r="F426">
        <v>3.28</v>
      </c>
      <c r="G426" s="1">
        <v>44101</v>
      </c>
      <c r="H426" t="s">
        <v>13</v>
      </c>
      <c r="I426" t="s">
        <v>14</v>
      </c>
    </row>
    <row r="427" spans="1:9" x14ac:dyDescent="0.2">
      <c r="A427">
        <v>320193</v>
      </c>
      <c r="B427" t="s">
        <v>99</v>
      </c>
      <c r="C427" t="s">
        <v>33</v>
      </c>
      <c r="D427" t="s">
        <v>34</v>
      </c>
      <c r="E427" t="s">
        <v>12</v>
      </c>
      <c r="F427">
        <v>3.28</v>
      </c>
      <c r="G427" s="1">
        <v>44101</v>
      </c>
      <c r="H427" t="s">
        <v>13</v>
      </c>
      <c r="I427" t="s">
        <v>14</v>
      </c>
    </row>
    <row r="428" spans="1:9" x14ac:dyDescent="0.2">
      <c r="A428">
        <v>320193</v>
      </c>
      <c r="B428" t="s">
        <v>100</v>
      </c>
      <c r="C428" t="s">
        <v>33</v>
      </c>
      <c r="D428" t="s">
        <v>34</v>
      </c>
      <c r="E428" t="s">
        <v>12</v>
      </c>
      <c r="F428">
        <v>3.28</v>
      </c>
      <c r="G428" s="1">
        <v>44101</v>
      </c>
      <c r="H428" t="s">
        <v>13</v>
      </c>
      <c r="I428" t="s">
        <v>14</v>
      </c>
    </row>
    <row r="429" spans="1:9" x14ac:dyDescent="0.2">
      <c r="A429">
        <v>320193</v>
      </c>
      <c r="B429" t="s">
        <v>100</v>
      </c>
      <c r="C429" t="s">
        <v>33</v>
      </c>
      <c r="D429" t="s">
        <v>34</v>
      </c>
      <c r="E429" t="s">
        <v>12</v>
      </c>
      <c r="F429">
        <v>3.28</v>
      </c>
      <c r="G429" s="1">
        <v>44101</v>
      </c>
      <c r="H429" t="s">
        <v>13</v>
      </c>
      <c r="I429" t="s">
        <v>14</v>
      </c>
    </row>
    <row r="430" spans="1:9" x14ac:dyDescent="0.2">
      <c r="A430">
        <v>320193</v>
      </c>
      <c r="B430" t="s">
        <v>100</v>
      </c>
      <c r="C430" t="s">
        <v>33</v>
      </c>
      <c r="D430" t="s">
        <v>34</v>
      </c>
      <c r="E430" t="s">
        <v>12</v>
      </c>
      <c r="F430">
        <v>0.73</v>
      </c>
      <c r="G430" s="1">
        <v>44101</v>
      </c>
      <c r="H430" t="s">
        <v>13</v>
      </c>
      <c r="I430" t="s">
        <v>14</v>
      </c>
    </row>
    <row r="431" spans="1:9" x14ac:dyDescent="0.2">
      <c r="A431">
        <v>320193</v>
      </c>
      <c r="B431" t="s">
        <v>97</v>
      </c>
      <c r="C431" t="s">
        <v>33</v>
      </c>
      <c r="D431" t="s">
        <v>34</v>
      </c>
      <c r="E431" t="s">
        <v>12</v>
      </c>
      <c r="F431">
        <v>5.61</v>
      </c>
      <c r="G431" s="1">
        <v>44465</v>
      </c>
      <c r="H431" t="s">
        <v>13</v>
      </c>
      <c r="I431" t="s">
        <v>14</v>
      </c>
    </row>
    <row r="432" spans="1:9" x14ac:dyDescent="0.2">
      <c r="A432">
        <v>320193</v>
      </c>
      <c r="B432" t="s">
        <v>97</v>
      </c>
      <c r="C432" t="s">
        <v>33</v>
      </c>
      <c r="D432" t="s">
        <v>34</v>
      </c>
      <c r="E432" t="s">
        <v>12</v>
      </c>
      <c r="F432">
        <v>5.61</v>
      </c>
      <c r="G432" s="1">
        <v>44465</v>
      </c>
      <c r="H432" t="s">
        <v>13</v>
      </c>
      <c r="I432" t="s">
        <v>14</v>
      </c>
    </row>
    <row r="433" spans="1:9" x14ac:dyDescent="0.2">
      <c r="A433">
        <v>320193</v>
      </c>
      <c r="B433" t="s">
        <v>99</v>
      </c>
      <c r="C433" t="s">
        <v>33</v>
      </c>
      <c r="D433" t="s">
        <v>34</v>
      </c>
      <c r="E433" t="s">
        <v>12</v>
      </c>
      <c r="F433">
        <v>5.61</v>
      </c>
      <c r="G433" s="1">
        <v>44465</v>
      </c>
      <c r="H433" t="s">
        <v>13</v>
      </c>
      <c r="I433" t="s">
        <v>14</v>
      </c>
    </row>
    <row r="434" spans="1:9" x14ac:dyDescent="0.2">
      <c r="A434">
        <v>320193</v>
      </c>
      <c r="B434" t="s">
        <v>99</v>
      </c>
      <c r="C434" t="s">
        <v>33</v>
      </c>
      <c r="D434" t="s">
        <v>34</v>
      </c>
      <c r="E434" t="s">
        <v>12</v>
      </c>
      <c r="F434">
        <v>5.61</v>
      </c>
      <c r="G434" s="1">
        <v>44465</v>
      </c>
      <c r="H434" t="s">
        <v>13</v>
      </c>
      <c r="I434" t="s">
        <v>14</v>
      </c>
    </row>
    <row r="435" spans="1:9" x14ac:dyDescent="0.2">
      <c r="A435">
        <v>320193</v>
      </c>
      <c r="B435" t="s">
        <v>101</v>
      </c>
      <c r="C435" t="s">
        <v>33</v>
      </c>
      <c r="D435" t="s">
        <v>34</v>
      </c>
      <c r="E435" t="s">
        <v>12</v>
      </c>
      <c r="F435">
        <v>5.61</v>
      </c>
      <c r="G435" s="1">
        <v>44465</v>
      </c>
      <c r="H435" t="s">
        <v>13</v>
      </c>
      <c r="I435" t="s">
        <v>14</v>
      </c>
    </row>
    <row r="436" spans="1:9" x14ac:dyDescent="0.2">
      <c r="A436">
        <v>320193</v>
      </c>
      <c r="B436" t="s">
        <v>101</v>
      </c>
      <c r="C436" t="s">
        <v>33</v>
      </c>
      <c r="D436" t="s">
        <v>34</v>
      </c>
      <c r="E436" t="s">
        <v>12</v>
      </c>
      <c r="F436">
        <v>5.61</v>
      </c>
      <c r="G436" s="1">
        <v>44465</v>
      </c>
      <c r="H436" t="s">
        <v>13</v>
      </c>
      <c r="I436" t="s">
        <v>14</v>
      </c>
    </row>
    <row r="437" spans="1:9" x14ac:dyDescent="0.2">
      <c r="A437">
        <v>320193</v>
      </c>
      <c r="B437" t="s">
        <v>97</v>
      </c>
      <c r="C437" t="s">
        <v>33</v>
      </c>
      <c r="D437" t="s">
        <v>34</v>
      </c>
      <c r="E437" t="s">
        <v>12</v>
      </c>
      <c r="F437">
        <v>6.11</v>
      </c>
      <c r="G437" s="1">
        <v>44829</v>
      </c>
      <c r="H437" t="s">
        <v>13</v>
      </c>
      <c r="I437" t="s">
        <v>14</v>
      </c>
    </row>
    <row r="438" spans="1:9" x14ac:dyDescent="0.2">
      <c r="A438">
        <v>320193</v>
      </c>
      <c r="B438" t="s">
        <v>97</v>
      </c>
      <c r="C438" t="s">
        <v>33</v>
      </c>
      <c r="D438" t="s">
        <v>34</v>
      </c>
      <c r="E438" t="s">
        <v>12</v>
      </c>
      <c r="F438">
        <v>6.11</v>
      </c>
      <c r="G438" s="1">
        <v>44829</v>
      </c>
      <c r="H438" t="s">
        <v>13</v>
      </c>
      <c r="I438" t="s">
        <v>14</v>
      </c>
    </row>
    <row r="439" spans="1:9" x14ac:dyDescent="0.2">
      <c r="A439">
        <v>320193</v>
      </c>
      <c r="B439" t="s">
        <v>98</v>
      </c>
      <c r="C439" t="s">
        <v>33</v>
      </c>
      <c r="D439" t="s">
        <v>34</v>
      </c>
      <c r="E439" t="s">
        <v>12</v>
      </c>
      <c r="F439">
        <v>6.11</v>
      </c>
      <c r="G439" s="1">
        <v>44829</v>
      </c>
      <c r="H439" t="s">
        <v>13</v>
      </c>
      <c r="I439" t="s">
        <v>14</v>
      </c>
    </row>
    <row r="440" spans="1:9" x14ac:dyDescent="0.2">
      <c r="A440">
        <v>320193</v>
      </c>
      <c r="B440" t="s">
        <v>98</v>
      </c>
      <c r="C440" t="s">
        <v>33</v>
      </c>
      <c r="D440" t="s">
        <v>34</v>
      </c>
      <c r="E440" t="s">
        <v>12</v>
      </c>
      <c r="F440">
        <v>6.11</v>
      </c>
      <c r="G440" s="1">
        <v>44829</v>
      </c>
      <c r="H440" t="s">
        <v>13</v>
      </c>
      <c r="I440" t="s">
        <v>14</v>
      </c>
    </row>
    <row r="441" spans="1:9" x14ac:dyDescent="0.2">
      <c r="A441">
        <v>320193</v>
      </c>
      <c r="B441" t="s">
        <v>101</v>
      </c>
      <c r="C441" t="s">
        <v>33</v>
      </c>
      <c r="D441" t="s">
        <v>34</v>
      </c>
      <c r="E441" t="s">
        <v>12</v>
      </c>
      <c r="F441">
        <v>6.11</v>
      </c>
      <c r="G441" s="1">
        <v>44829</v>
      </c>
      <c r="H441" t="s">
        <v>13</v>
      </c>
      <c r="I441" t="s">
        <v>14</v>
      </c>
    </row>
    <row r="442" spans="1:9" x14ac:dyDescent="0.2">
      <c r="A442">
        <v>320193</v>
      </c>
      <c r="B442" t="s">
        <v>101</v>
      </c>
      <c r="C442" t="s">
        <v>33</v>
      </c>
      <c r="D442" t="s">
        <v>34</v>
      </c>
      <c r="E442" t="s">
        <v>12</v>
      </c>
      <c r="F442">
        <v>6.11</v>
      </c>
      <c r="G442" s="1">
        <v>44829</v>
      </c>
      <c r="H442" t="s">
        <v>13</v>
      </c>
      <c r="I442" t="s">
        <v>14</v>
      </c>
    </row>
    <row r="443" spans="1:9" x14ac:dyDescent="0.2">
      <c r="A443">
        <v>320193</v>
      </c>
      <c r="B443" t="s">
        <v>88</v>
      </c>
      <c r="C443" t="s">
        <v>33</v>
      </c>
      <c r="D443" t="s">
        <v>34</v>
      </c>
      <c r="E443" t="s">
        <v>12</v>
      </c>
      <c r="F443">
        <v>6.13</v>
      </c>
      <c r="G443" s="1">
        <v>45200</v>
      </c>
      <c r="H443" t="s">
        <v>13</v>
      </c>
      <c r="I443" t="s">
        <v>14</v>
      </c>
    </row>
    <row r="444" spans="1:9" x14ac:dyDescent="0.2">
      <c r="A444">
        <v>320193</v>
      </c>
      <c r="B444" t="s">
        <v>88</v>
      </c>
      <c r="C444" t="s">
        <v>33</v>
      </c>
      <c r="D444" t="s">
        <v>34</v>
      </c>
      <c r="E444" t="s">
        <v>12</v>
      </c>
      <c r="F444">
        <v>6.13</v>
      </c>
      <c r="G444" s="1">
        <v>45200</v>
      </c>
      <c r="H444" t="s">
        <v>13</v>
      </c>
      <c r="I444" t="s">
        <v>14</v>
      </c>
    </row>
    <row r="445" spans="1:9" x14ac:dyDescent="0.2">
      <c r="A445">
        <v>320193</v>
      </c>
      <c r="B445" t="s">
        <v>98</v>
      </c>
      <c r="C445" t="s">
        <v>33</v>
      </c>
      <c r="D445" t="s">
        <v>34</v>
      </c>
      <c r="E445" t="s">
        <v>12</v>
      </c>
      <c r="F445">
        <v>6.13</v>
      </c>
      <c r="G445" s="1">
        <v>45200</v>
      </c>
      <c r="H445" t="s">
        <v>13</v>
      </c>
      <c r="I445" t="s">
        <v>14</v>
      </c>
    </row>
    <row r="446" spans="1:9" x14ac:dyDescent="0.2">
      <c r="A446">
        <v>320193</v>
      </c>
      <c r="B446" t="s">
        <v>98</v>
      </c>
      <c r="C446" t="s">
        <v>33</v>
      </c>
      <c r="D446" t="s">
        <v>34</v>
      </c>
      <c r="E446" t="s">
        <v>12</v>
      </c>
      <c r="F446">
        <v>6.13</v>
      </c>
      <c r="G446" s="1">
        <v>45200</v>
      </c>
      <c r="H446" t="s">
        <v>13</v>
      </c>
      <c r="I446" t="s">
        <v>14</v>
      </c>
    </row>
    <row r="447" spans="1:9" x14ac:dyDescent="0.2">
      <c r="A447">
        <v>320193</v>
      </c>
      <c r="B447" t="s">
        <v>101</v>
      </c>
      <c r="C447" t="s">
        <v>33</v>
      </c>
      <c r="D447" t="s">
        <v>34</v>
      </c>
      <c r="E447" t="s">
        <v>12</v>
      </c>
      <c r="F447">
        <v>6.13</v>
      </c>
      <c r="G447" s="1">
        <v>45200</v>
      </c>
      <c r="H447" t="s">
        <v>13</v>
      </c>
      <c r="I447" t="s">
        <v>14</v>
      </c>
    </row>
    <row r="448" spans="1:9" x14ac:dyDescent="0.2">
      <c r="A448">
        <v>320193</v>
      </c>
      <c r="B448" t="s">
        <v>101</v>
      </c>
      <c r="C448" t="s">
        <v>33</v>
      </c>
      <c r="D448" t="s">
        <v>34</v>
      </c>
      <c r="E448" t="s">
        <v>12</v>
      </c>
      <c r="F448">
        <v>6.13</v>
      </c>
      <c r="G448" s="1">
        <v>45200</v>
      </c>
      <c r="H448" t="s">
        <v>13</v>
      </c>
      <c r="I448" t="s">
        <v>14</v>
      </c>
    </row>
    <row r="449" spans="1:9" x14ac:dyDescent="0.2">
      <c r="A449">
        <v>320193</v>
      </c>
      <c r="B449" t="s">
        <v>88</v>
      </c>
      <c r="C449" t="s">
        <v>33</v>
      </c>
      <c r="D449" t="s">
        <v>34</v>
      </c>
      <c r="E449" t="s">
        <v>12</v>
      </c>
      <c r="F449">
        <v>6.08</v>
      </c>
      <c r="G449" s="1">
        <v>45564</v>
      </c>
      <c r="H449" t="s">
        <v>13</v>
      </c>
      <c r="I449" t="s">
        <v>14</v>
      </c>
    </row>
    <row r="450" spans="1:9" x14ac:dyDescent="0.2">
      <c r="A450">
        <v>320193</v>
      </c>
      <c r="B450" t="s">
        <v>88</v>
      </c>
      <c r="C450" t="s">
        <v>33</v>
      </c>
      <c r="D450" t="s">
        <v>34</v>
      </c>
      <c r="E450" t="s">
        <v>12</v>
      </c>
      <c r="F450">
        <v>6.08</v>
      </c>
      <c r="G450" s="1">
        <v>45564</v>
      </c>
      <c r="H450" t="s">
        <v>13</v>
      </c>
      <c r="I450" t="s">
        <v>14</v>
      </c>
    </row>
    <row r="451" spans="1:9" x14ac:dyDescent="0.2">
      <c r="A451">
        <v>320193</v>
      </c>
      <c r="B451" t="s">
        <v>98</v>
      </c>
      <c r="C451" t="s">
        <v>33</v>
      </c>
      <c r="D451" t="s">
        <v>34</v>
      </c>
      <c r="E451" t="s">
        <v>12</v>
      </c>
      <c r="F451">
        <v>6.08</v>
      </c>
      <c r="G451" s="1">
        <v>45564</v>
      </c>
      <c r="H451" t="s">
        <v>13</v>
      </c>
      <c r="I451" t="s">
        <v>14</v>
      </c>
    </row>
    <row r="452" spans="1:9" x14ac:dyDescent="0.2">
      <c r="A452">
        <v>320193</v>
      </c>
      <c r="B452" t="s">
        <v>98</v>
      </c>
      <c r="C452" t="s">
        <v>33</v>
      </c>
      <c r="D452" t="s">
        <v>34</v>
      </c>
      <c r="E452" t="s">
        <v>12</v>
      </c>
      <c r="F452">
        <v>6.08</v>
      </c>
      <c r="G452" s="1">
        <v>45564</v>
      </c>
      <c r="H452" t="s">
        <v>13</v>
      </c>
      <c r="I452" t="s">
        <v>14</v>
      </c>
    </row>
    <row r="453" spans="1:9" x14ac:dyDescent="0.2">
      <c r="A453">
        <v>320193</v>
      </c>
      <c r="B453" t="s">
        <v>88</v>
      </c>
      <c r="C453" t="s">
        <v>33</v>
      </c>
      <c r="D453" t="s">
        <v>34</v>
      </c>
      <c r="E453" t="s">
        <v>12</v>
      </c>
      <c r="F453">
        <v>7.46</v>
      </c>
      <c r="G453" s="1">
        <v>45928</v>
      </c>
      <c r="H453" t="s">
        <v>13</v>
      </c>
      <c r="I453" t="s">
        <v>14</v>
      </c>
    </row>
    <row r="454" spans="1:9" x14ac:dyDescent="0.2">
      <c r="A454">
        <v>320193</v>
      </c>
      <c r="B454" t="s">
        <v>88</v>
      </c>
      <c r="C454" t="s">
        <v>33</v>
      </c>
      <c r="D454" t="s">
        <v>34</v>
      </c>
      <c r="E454" t="s">
        <v>12</v>
      </c>
      <c r="F454">
        <v>7.46</v>
      </c>
      <c r="G454" s="1">
        <v>45928</v>
      </c>
      <c r="H454" t="s">
        <v>13</v>
      </c>
      <c r="I454" t="s">
        <v>14</v>
      </c>
    </row>
    <row r="455" spans="1:9" x14ac:dyDescent="0.2">
      <c r="A455">
        <v>320193</v>
      </c>
      <c r="B455" t="s">
        <v>9</v>
      </c>
      <c r="C455" t="s">
        <v>25</v>
      </c>
      <c r="D455" t="s">
        <v>24</v>
      </c>
      <c r="E455" t="s">
        <v>12</v>
      </c>
      <c r="F455">
        <v>61344000000</v>
      </c>
      <c r="G455" s="1">
        <v>43009</v>
      </c>
      <c r="H455" t="s">
        <v>13</v>
      </c>
      <c r="I455" t="s">
        <v>14</v>
      </c>
    </row>
    <row r="456" spans="1:9" x14ac:dyDescent="0.2">
      <c r="A456">
        <v>320193</v>
      </c>
      <c r="B456" t="s">
        <v>9</v>
      </c>
      <c r="C456" t="s">
        <v>25</v>
      </c>
      <c r="D456" t="s">
        <v>24</v>
      </c>
      <c r="E456" t="s">
        <v>12</v>
      </c>
      <c r="F456">
        <v>61344000000</v>
      </c>
      <c r="G456" s="1">
        <v>43009</v>
      </c>
      <c r="H456" t="s">
        <v>13</v>
      </c>
      <c r="I456" t="s">
        <v>14</v>
      </c>
    </row>
    <row r="457" spans="1:9" x14ac:dyDescent="0.2">
      <c r="A457">
        <v>320193</v>
      </c>
      <c r="B457" t="s">
        <v>9</v>
      </c>
      <c r="C457" t="s">
        <v>25</v>
      </c>
      <c r="D457" t="s">
        <v>24</v>
      </c>
      <c r="E457" t="s">
        <v>12</v>
      </c>
      <c r="F457">
        <v>70898000000</v>
      </c>
      <c r="G457" s="1">
        <v>43373</v>
      </c>
      <c r="H457" t="s">
        <v>13</v>
      </c>
      <c r="I457" t="s">
        <v>14</v>
      </c>
    </row>
    <row r="458" spans="1:9" x14ac:dyDescent="0.2">
      <c r="A458">
        <v>320193</v>
      </c>
      <c r="B458" t="s">
        <v>9</v>
      </c>
      <c r="C458" t="s">
        <v>25</v>
      </c>
      <c r="D458" t="s">
        <v>24</v>
      </c>
      <c r="E458" t="s">
        <v>12</v>
      </c>
      <c r="F458">
        <v>70898000000</v>
      </c>
      <c r="G458" s="1">
        <v>43373</v>
      </c>
      <c r="H458" t="s">
        <v>13</v>
      </c>
      <c r="I458" t="s">
        <v>14</v>
      </c>
    </row>
    <row r="459" spans="1:9" x14ac:dyDescent="0.2">
      <c r="A459">
        <v>320193</v>
      </c>
      <c r="B459" t="s">
        <v>100</v>
      </c>
      <c r="C459" t="s">
        <v>25</v>
      </c>
      <c r="D459" t="s">
        <v>24</v>
      </c>
      <c r="E459" t="s">
        <v>12</v>
      </c>
      <c r="F459">
        <v>70898000000</v>
      </c>
      <c r="G459" s="1">
        <v>43373</v>
      </c>
      <c r="H459" t="s">
        <v>13</v>
      </c>
      <c r="I459" t="s">
        <v>14</v>
      </c>
    </row>
    <row r="460" spans="1:9" x14ac:dyDescent="0.2">
      <c r="A460">
        <v>320193</v>
      </c>
      <c r="B460" t="s">
        <v>100</v>
      </c>
      <c r="C460" t="s">
        <v>25</v>
      </c>
      <c r="D460" t="s">
        <v>24</v>
      </c>
      <c r="E460" t="s">
        <v>12</v>
      </c>
      <c r="F460">
        <v>70898000000</v>
      </c>
      <c r="G460" s="1">
        <v>43373</v>
      </c>
      <c r="H460" t="s">
        <v>13</v>
      </c>
      <c r="I460" t="s">
        <v>14</v>
      </c>
    </row>
    <row r="461" spans="1:9" x14ac:dyDescent="0.2">
      <c r="A461">
        <v>320193</v>
      </c>
      <c r="B461" t="s">
        <v>9</v>
      </c>
      <c r="C461" t="s">
        <v>25</v>
      </c>
      <c r="D461" t="s">
        <v>24</v>
      </c>
      <c r="E461" t="s">
        <v>12</v>
      </c>
      <c r="F461">
        <v>63930000000</v>
      </c>
      <c r="G461" s="1">
        <v>43737</v>
      </c>
      <c r="H461" t="s">
        <v>13</v>
      </c>
      <c r="I461" t="s">
        <v>14</v>
      </c>
    </row>
    <row r="462" spans="1:9" x14ac:dyDescent="0.2">
      <c r="A462">
        <v>320193</v>
      </c>
      <c r="B462" t="s">
        <v>9</v>
      </c>
      <c r="C462" t="s">
        <v>25</v>
      </c>
      <c r="D462" t="s">
        <v>24</v>
      </c>
      <c r="E462" t="s">
        <v>12</v>
      </c>
      <c r="F462">
        <v>63930000000</v>
      </c>
      <c r="G462" s="1">
        <v>43737</v>
      </c>
      <c r="H462" t="s">
        <v>13</v>
      </c>
      <c r="I462" t="s">
        <v>14</v>
      </c>
    </row>
    <row r="463" spans="1:9" x14ac:dyDescent="0.2">
      <c r="A463">
        <v>320193</v>
      </c>
      <c r="B463" t="s">
        <v>99</v>
      </c>
      <c r="C463" t="s">
        <v>25</v>
      </c>
      <c r="D463" t="s">
        <v>24</v>
      </c>
      <c r="E463" t="s">
        <v>12</v>
      </c>
      <c r="F463">
        <v>63930000000</v>
      </c>
      <c r="G463" s="1">
        <v>43737</v>
      </c>
      <c r="H463" t="s">
        <v>13</v>
      </c>
      <c r="I463" t="s">
        <v>14</v>
      </c>
    </row>
    <row r="464" spans="1:9" x14ac:dyDescent="0.2">
      <c r="A464">
        <v>320193</v>
      </c>
      <c r="B464" t="s">
        <v>99</v>
      </c>
      <c r="C464" t="s">
        <v>25</v>
      </c>
      <c r="D464" t="s">
        <v>24</v>
      </c>
      <c r="E464" t="s">
        <v>12</v>
      </c>
      <c r="F464">
        <v>63930000000</v>
      </c>
      <c r="G464" s="1">
        <v>43737</v>
      </c>
      <c r="H464" t="s">
        <v>13</v>
      </c>
      <c r="I464" t="s">
        <v>14</v>
      </c>
    </row>
    <row r="465" spans="1:9" x14ac:dyDescent="0.2">
      <c r="A465">
        <v>320193</v>
      </c>
      <c r="B465" t="s">
        <v>100</v>
      </c>
      <c r="C465" t="s">
        <v>25</v>
      </c>
      <c r="D465" t="s">
        <v>24</v>
      </c>
      <c r="E465" t="s">
        <v>12</v>
      </c>
      <c r="F465">
        <v>63930000000</v>
      </c>
      <c r="G465" s="1">
        <v>43737</v>
      </c>
      <c r="H465" t="s">
        <v>13</v>
      </c>
      <c r="I465" t="s">
        <v>14</v>
      </c>
    </row>
    <row r="466" spans="1:9" x14ac:dyDescent="0.2">
      <c r="A466">
        <v>320193</v>
      </c>
      <c r="B466" t="s">
        <v>100</v>
      </c>
      <c r="C466" t="s">
        <v>25</v>
      </c>
      <c r="D466" t="s">
        <v>24</v>
      </c>
      <c r="E466" t="s">
        <v>12</v>
      </c>
      <c r="F466">
        <v>63930000000</v>
      </c>
      <c r="G466" s="1">
        <v>43737</v>
      </c>
      <c r="H466" t="s">
        <v>13</v>
      </c>
      <c r="I466" t="s">
        <v>14</v>
      </c>
    </row>
    <row r="467" spans="1:9" x14ac:dyDescent="0.2">
      <c r="A467">
        <v>320193</v>
      </c>
      <c r="B467" t="s">
        <v>97</v>
      </c>
      <c r="C467" t="s">
        <v>25</v>
      </c>
      <c r="D467" t="s">
        <v>24</v>
      </c>
      <c r="E467" t="s">
        <v>12</v>
      </c>
      <c r="F467">
        <v>66288000000</v>
      </c>
      <c r="G467" s="1">
        <v>44101</v>
      </c>
      <c r="H467" t="s">
        <v>13</v>
      </c>
      <c r="I467" t="s">
        <v>14</v>
      </c>
    </row>
    <row r="468" spans="1:9" x14ac:dyDescent="0.2">
      <c r="A468">
        <v>320193</v>
      </c>
      <c r="B468" t="s">
        <v>97</v>
      </c>
      <c r="C468" t="s">
        <v>25</v>
      </c>
      <c r="D468" t="s">
        <v>24</v>
      </c>
      <c r="E468" t="s">
        <v>12</v>
      </c>
      <c r="F468">
        <v>66288000000</v>
      </c>
      <c r="G468" s="1">
        <v>44101</v>
      </c>
      <c r="H468" t="s">
        <v>13</v>
      </c>
      <c r="I468" t="s">
        <v>14</v>
      </c>
    </row>
    <row r="469" spans="1:9" x14ac:dyDescent="0.2">
      <c r="A469">
        <v>320193</v>
      </c>
      <c r="B469" t="s">
        <v>99</v>
      </c>
      <c r="C469" t="s">
        <v>25</v>
      </c>
      <c r="D469" t="s">
        <v>24</v>
      </c>
      <c r="E469" t="s">
        <v>12</v>
      </c>
      <c r="F469">
        <v>66288000000</v>
      </c>
      <c r="G469" s="1">
        <v>44101</v>
      </c>
      <c r="H469" t="s">
        <v>13</v>
      </c>
      <c r="I469" t="s">
        <v>14</v>
      </c>
    </row>
    <row r="470" spans="1:9" x14ac:dyDescent="0.2">
      <c r="A470">
        <v>320193</v>
      </c>
      <c r="B470" t="s">
        <v>99</v>
      </c>
      <c r="C470" t="s">
        <v>25</v>
      </c>
      <c r="D470" t="s">
        <v>24</v>
      </c>
      <c r="E470" t="s">
        <v>12</v>
      </c>
      <c r="F470">
        <v>66288000000</v>
      </c>
      <c r="G470" s="1">
        <v>44101</v>
      </c>
      <c r="H470" t="s">
        <v>13</v>
      </c>
      <c r="I470" t="s">
        <v>14</v>
      </c>
    </row>
    <row r="471" spans="1:9" x14ac:dyDescent="0.2">
      <c r="A471">
        <v>320193</v>
      </c>
      <c r="B471" t="s">
        <v>100</v>
      </c>
      <c r="C471" t="s">
        <v>25</v>
      </c>
      <c r="D471" t="s">
        <v>24</v>
      </c>
      <c r="E471" t="s">
        <v>12</v>
      </c>
      <c r="F471">
        <v>66288000000</v>
      </c>
      <c r="G471" s="1">
        <v>44101</v>
      </c>
      <c r="H471" t="s">
        <v>13</v>
      </c>
      <c r="I471" t="s">
        <v>14</v>
      </c>
    </row>
    <row r="472" spans="1:9" x14ac:dyDescent="0.2">
      <c r="A472">
        <v>320193</v>
      </c>
      <c r="B472" t="s">
        <v>100</v>
      </c>
      <c r="C472" t="s">
        <v>25</v>
      </c>
      <c r="D472" t="s">
        <v>24</v>
      </c>
      <c r="E472" t="s">
        <v>12</v>
      </c>
      <c r="F472">
        <v>66288000000</v>
      </c>
      <c r="G472" s="1">
        <v>44101</v>
      </c>
      <c r="H472" t="s">
        <v>13</v>
      </c>
      <c r="I472" t="s">
        <v>14</v>
      </c>
    </row>
    <row r="473" spans="1:9" x14ac:dyDescent="0.2">
      <c r="A473">
        <v>320193</v>
      </c>
      <c r="B473" t="s">
        <v>97</v>
      </c>
      <c r="C473" t="s">
        <v>25</v>
      </c>
      <c r="D473" t="s">
        <v>24</v>
      </c>
      <c r="E473" t="s">
        <v>12</v>
      </c>
      <c r="F473">
        <v>108949000000</v>
      </c>
      <c r="G473" s="1">
        <v>44465</v>
      </c>
      <c r="H473" t="s">
        <v>13</v>
      </c>
      <c r="I473" t="s">
        <v>14</v>
      </c>
    </row>
    <row r="474" spans="1:9" x14ac:dyDescent="0.2">
      <c r="A474">
        <v>320193</v>
      </c>
      <c r="B474" t="s">
        <v>97</v>
      </c>
      <c r="C474" t="s">
        <v>25</v>
      </c>
      <c r="D474" t="s">
        <v>24</v>
      </c>
      <c r="E474" t="s">
        <v>12</v>
      </c>
      <c r="F474">
        <v>108949000000</v>
      </c>
      <c r="G474" s="1">
        <v>44465</v>
      </c>
      <c r="H474" t="s">
        <v>13</v>
      </c>
      <c r="I474" t="s">
        <v>14</v>
      </c>
    </row>
    <row r="475" spans="1:9" x14ac:dyDescent="0.2">
      <c r="A475">
        <v>320193</v>
      </c>
      <c r="B475" t="s">
        <v>99</v>
      </c>
      <c r="C475" t="s">
        <v>25</v>
      </c>
      <c r="D475" t="s">
        <v>24</v>
      </c>
      <c r="E475" t="s">
        <v>12</v>
      </c>
      <c r="F475">
        <v>108949000000</v>
      </c>
      <c r="G475" s="1">
        <v>44465</v>
      </c>
      <c r="H475" t="s">
        <v>13</v>
      </c>
      <c r="I475" t="s">
        <v>14</v>
      </c>
    </row>
    <row r="476" spans="1:9" x14ac:dyDescent="0.2">
      <c r="A476">
        <v>320193</v>
      </c>
      <c r="B476" t="s">
        <v>99</v>
      </c>
      <c r="C476" t="s">
        <v>25</v>
      </c>
      <c r="D476" t="s">
        <v>24</v>
      </c>
      <c r="E476" t="s">
        <v>12</v>
      </c>
      <c r="F476">
        <v>108949000000</v>
      </c>
      <c r="G476" s="1">
        <v>44465</v>
      </c>
      <c r="H476" t="s">
        <v>13</v>
      </c>
      <c r="I476" t="s">
        <v>14</v>
      </c>
    </row>
    <row r="477" spans="1:9" x14ac:dyDescent="0.2">
      <c r="A477">
        <v>320193</v>
      </c>
      <c r="B477" t="s">
        <v>101</v>
      </c>
      <c r="C477" t="s">
        <v>25</v>
      </c>
      <c r="D477" t="s">
        <v>24</v>
      </c>
      <c r="E477" t="s">
        <v>12</v>
      </c>
      <c r="F477">
        <v>108949000000</v>
      </c>
      <c r="G477" s="1">
        <v>44465</v>
      </c>
      <c r="H477" t="s">
        <v>13</v>
      </c>
      <c r="I477" t="s">
        <v>14</v>
      </c>
    </row>
    <row r="478" spans="1:9" x14ac:dyDescent="0.2">
      <c r="A478">
        <v>320193</v>
      </c>
      <c r="B478" t="s">
        <v>101</v>
      </c>
      <c r="C478" t="s">
        <v>25</v>
      </c>
      <c r="D478" t="s">
        <v>24</v>
      </c>
      <c r="E478" t="s">
        <v>12</v>
      </c>
      <c r="F478">
        <v>108949000000</v>
      </c>
      <c r="G478" s="1">
        <v>44465</v>
      </c>
      <c r="H478" t="s">
        <v>13</v>
      </c>
      <c r="I478" t="s">
        <v>14</v>
      </c>
    </row>
    <row r="479" spans="1:9" x14ac:dyDescent="0.2">
      <c r="A479">
        <v>320193</v>
      </c>
      <c r="B479" t="s">
        <v>97</v>
      </c>
      <c r="C479" t="s">
        <v>25</v>
      </c>
      <c r="D479" t="s">
        <v>24</v>
      </c>
      <c r="E479" t="s">
        <v>12</v>
      </c>
      <c r="F479">
        <v>119437000000</v>
      </c>
      <c r="G479" s="1">
        <v>44829</v>
      </c>
      <c r="H479" t="s">
        <v>13</v>
      </c>
      <c r="I479" t="s">
        <v>14</v>
      </c>
    </row>
    <row r="480" spans="1:9" x14ac:dyDescent="0.2">
      <c r="A480">
        <v>320193</v>
      </c>
      <c r="B480" t="s">
        <v>97</v>
      </c>
      <c r="C480" t="s">
        <v>25</v>
      </c>
      <c r="D480" t="s">
        <v>24</v>
      </c>
      <c r="E480" t="s">
        <v>12</v>
      </c>
      <c r="F480">
        <v>119437000000</v>
      </c>
      <c r="G480" s="1">
        <v>44829</v>
      </c>
      <c r="H480" t="s">
        <v>13</v>
      </c>
      <c r="I480" t="s">
        <v>14</v>
      </c>
    </row>
    <row r="481" spans="1:9" x14ac:dyDescent="0.2">
      <c r="A481">
        <v>320193</v>
      </c>
      <c r="B481" t="s">
        <v>98</v>
      </c>
      <c r="C481" t="s">
        <v>25</v>
      </c>
      <c r="D481" t="s">
        <v>24</v>
      </c>
      <c r="E481" t="s">
        <v>12</v>
      </c>
      <c r="F481">
        <v>119437000000</v>
      </c>
      <c r="G481" s="1">
        <v>44829</v>
      </c>
      <c r="H481" t="s">
        <v>13</v>
      </c>
      <c r="I481" t="s">
        <v>14</v>
      </c>
    </row>
    <row r="482" spans="1:9" x14ac:dyDescent="0.2">
      <c r="A482">
        <v>320193</v>
      </c>
      <c r="B482" t="s">
        <v>98</v>
      </c>
      <c r="C482" t="s">
        <v>25</v>
      </c>
      <c r="D482" t="s">
        <v>24</v>
      </c>
      <c r="E482" t="s">
        <v>12</v>
      </c>
      <c r="F482">
        <v>119437000000</v>
      </c>
      <c r="G482" s="1">
        <v>44829</v>
      </c>
      <c r="H482" t="s">
        <v>13</v>
      </c>
      <c r="I482" t="s">
        <v>14</v>
      </c>
    </row>
    <row r="483" spans="1:9" x14ac:dyDescent="0.2">
      <c r="A483">
        <v>320193</v>
      </c>
      <c r="B483" t="s">
        <v>101</v>
      </c>
      <c r="C483" t="s">
        <v>25</v>
      </c>
      <c r="D483" t="s">
        <v>24</v>
      </c>
      <c r="E483" t="s">
        <v>12</v>
      </c>
      <c r="F483">
        <v>119437000000</v>
      </c>
      <c r="G483" s="1">
        <v>44829</v>
      </c>
      <c r="H483" t="s">
        <v>13</v>
      </c>
      <c r="I483" t="s">
        <v>14</v>
      </c>
    </row>
    <row r="484" spans="1:9" x14ac:dyDescent="0.2">
      <c r="A484">
        <v>320193</v>
      </c>
      <c r="B484" t="s">
        <v>101</v>
      </c>
      <c r="C484" t="s">
        <v>25</v>
      </c>
      <c r="D484" t="s">
        <v>24</v>
      </c>
      <c r="E484" t="s">
        <v>12</v>
      </c>
      <c r="F484">
        <v>119437000000</v>
      </c>
      <c r="G484" s="1">
        <v>44829</v>
      </c>
      <c r="H484" t="s">
        <v>13</v>
      </c>
      <c r="I484" t="s">
        <v>14</v>
      </c>
    </row>
    <row r="485" spans="1:9" x14ac:dyDescent="0.2">
      <c r="A485">
        <v>320193</v>
      </c>
      <c r="B485" t="s">
        <v>88</v>
      </c>
      <c r="C485" t="s">
        <v>25</v>
      </c>
      <c r="D485" t="s">
        <v>24</v>
      </c>
      <c r="E485" t="s">
        <v>12</v>
      </c>
      <c r="F485">
        <v>114301000000</v>
      </c>
      <c r="G485" s="1">
        <v>45200</v>
      </c>
      <c r="H485" t="s">
        <v>13</v>
      </c>
      <c r="I485" t="s">
        <v>14</v>
      </c>
    </row>
    <row r="486" spans="1:9" x14ac:dyDescent="0.2">
      <c r="A486">
        <v>320193</v>
      </c>
      <c r="B486" t="s">
        <v>88</v>
      </c>
      <c r="C486" t="s">
        <v>25</v>
      </c>
      <c r="D486" t="s">
        <v>24</v>
      </c>
      <c r="E486" t="s">
        <v>12</v>
      </c>
      <c r="F486">
        <v>114301000000</v>
      </c>
      <c r="G486" s="1">
        <v>45200</v>
      </c>
      <c r="H486" t="s">
        <v>13</v>
      </c>
      <c r="I486" t="s">
        <v>14</v>
      </c>
    </row>
    <row r="487" spans="1:9" x14ac:dyDescent="0.2">
      <c r="A487">
        <v>320193</v>
      </c>
      <c r="B487" t="s">
        <v>98</v>
      </c>
      <c r="C487" t="s">
        <v>25</v>
      </c>
      <c r="D487" t="s">
        <v>24</v>
      </c>
      <c r="E487" t="s">
        <v>12</v>
      </c>
      <c r="F487">
        <v>114301000000</v>
      </c>
      <c r="G487" s="1">
        <v>45200</v>
      </c>
      <c r="H487" t="s">
        <v>13</v>
      </c>
      <c r="I487" t="s">
        <v>14</v>
      </c>
    </row>
    <row r="488" spans="1:9" x14ac:dyDescent="0.2">
      <c r="A488">
        <v>320193</v>
      </c>
      <c r="B488" t="s">
        <v>98</v>
      </c>
      <c r="C488" t="s">
        <v>25</v>
      </c>
      <c r="D488" t="s">
        <v>24</v>
      </c>
      <c r="E488" t="s">
        <v>12</v>
      </c>
      <c r="F488">
        <v>114301000000</v>
      </c>
      <c r="G488" s="1">
        <v>45200</v>
      </c>
      <c r="H488" t="s">
        <v>13</v>
      </c>
      <c r="I488" t="s">
        <v>14</v>
      </c>
    </row>
    <row r="489" spans="1:9" x14ac:dyDescent="0.2">
      <c r="A489">
        <v>320193</v>
      </c>
      <c r="B489" t="s">
        <v>101</v>
      </c>
      <c r="C489" t="s">
        <v>25</v>
      </c>
      <c r="D489" t="s">
        <v>24</v>
      </c>
      <c r="E489" t="s">
        <v>12</v>
      </c>
      <c r="F489">
        <v>114301000000</v>
      </c>
      <c r="G489" s="1">
        <v>45200</v>
      </c>
      <c r="H489" t="s">
        <v>13</v>
      </c>
      <c r="I489" t="s">
        <v>14</v>
      </c>
    </row>
    <row r="490" spans="1:9" x14ac:dyDescent="0.2">
      <c r="A490">
        <v>320193</v>
      </c>
      <c r="B490" t="s">
        <v>101</v>
      </c>
      <c r="C490" t="s">
        <v>25</v>
      </c>
      <c r="D490" t="s">
        <v>24</v>
      </c>
      <c r="E490" t="s">
        <v>12</v>
      </c>
      <c r="F490">
        <v>114301000000</v>
      </c>
      <c r="G490" s="1">
        <v>45200</v>
      </c>
      <c r="H490" t="s">
        <v>13</v>
      </c>
      <c r="I490" t="s">
        <v>14</v>
      </c>
    </row>
    <row r="491" spans="1:9" x14ac:dyDescent="0.2">
      <c r="A491">
        <v>320193</v>
      </c>
      <c r="B491" t="s">
        <v>88</v>
      </c>
      <c r="C491" t="s">
        <v>25</v>
      </c>
      <c r="D491" t="s">
        <v>24</v>
      </c>
      <c r="E491" t="s">
        <v>12</v>
      </c>
      <c r="F491">
        <v>123216000000</v>
      </c>
      <c r="G491" s="1">
        <v>45564</v>
      </c>
      <c r="H491" t="s">
        <v>13</v>
      </c>
      <c r="I491" t="s">
        <v>14</v>
      </c>
    </row>
    <row r="492" spans="1:9" x14ac:dyDescent="0.2">
      <c r="A492">
        <v>320193</v>
      </c>
      <c r="B492" t="s">
        <v>88</v>
      </c>
      <c r="C492" t="s">
        <v>25</v>
      </c>
      <c r="D492" t="s">
        <v>24</v>
      </c>
      <c r="E492" t="s">
        <v>12</v>
      </c>
      <c r="F492">
        <v>123216000000</v>
      </c>
      <c r="G492" s="1">
        <v>45564</v>
      </c>
      <c r="H492" t="s">
        <v>13</v>
      </c>
      <c r="I492" t="s">
        <v>14</v>
      </c>
    </row>
    <row r="493" spans="1:9" x14ac:dyDescent="0.2">
      <c r="A493">
        <v>320193</v>
      </c>
      <c r="B493" t="s">
        <v>98</v>
      </c>
      <c r="C493" t="s">
        <v>25</v>
      </c>
      <c r="D493" t="s">
        <v>24</v>
      </c>
      <c r="E493" t="s">
        <v>12</v>
      </c>
      <c r="F493">
        <v>123216000000</v>
      </c>
      <c r="G493" s="1">
        <v>45564</v>
      </c>
      <c r="H493" t="s">
        <v>13</v>
      </c>
      <c r="I493" t="s">
        <v>14</v>
      </c>
    </row>
    <row r="494" spans="1:9" x14ac:dyDescent="0.2">
      <c r="A494">
        <v>320193</v>
      </c>
      <c r="B494" t="s">
        <v>98</v>
      </c>
      <c r="C494" t="s">
        <v>25</v>
      </c>
      <c r="D494" t="s">
        <v>24</v>
      </c>
      <c r="E494" t="s">
        <v>12</v>
      </c>
      <c r="F494">
        <v>123216000000</v>
      </c>
      <c r="G494" s="1">
        <v>45564</v>
      </c>
      <c r="H494" t="s">
        <v>13</v>
      </c>
      <c r="I494" t="s">
        <v>14</v>
      </c>
    </row>
    <row r="495" spans="1:9" x14ac:dyDescent="0.2">
      <c r="A495">
        <v>320193</v>
      </c>
      <c r="B495" t="s">
        <v>88</v>
      </c>
      <c r="C495" t="s">
        <v>25</v>
      </c>
      <c r="D495" t="s">
        <v>24</v>
      </c>
      <c r="E495" t="s">
        <v>12</v>
      </c>
      <c r="F495">
        <v>133050000000</v>
      </c>
      <c r="G495" s="1">
        <v>45928</v>
      </c>
      <c r="H495" t="s">
        <v>13</v>
      </c>
      <c r="I495" t="s">
        <v>14</v>
      </c>
    </row>
    <row r="496" spans="1:9" x14ac:dyDescent="0.2">
      <c r="A496">
        <v>320193</v>
      </c>
      <c r="B496" t="s">
        <v>88</v>
      </c>
      <c r="C496" t="s">
        <v>25</v>
      </c>
      <c r="D496" t="s">
        <v>24</v>
      </c>
      <c r="E496" t="s">
        <v>12</v>
      </c>
      <c r="F496">
        <v>133050000000</v>
      </c>
      <c r="G496" s="1">
        <v>45928</v>
      </c>
      <c r="H496" t="s">
        <v>13</v>
      </c>
      <c r="I496" t="s">
        <v>14</v>
      </c>
    </row>
    <row r="497" spans="1:9" x14ac:dyDescent="0.2">
      <c r="A497">
        <v>320193</v>
      </c>
      <c r="B497" t="s">
        <v>9</v>
      </c>
      <c r="C497" t="s">
        <v>39</v>
      </c>
      <c r="D497" t="s">
        <v>38</v>
      </c>
      <c r="E497" t="s">
        <v>12</v>
      </c>
      <c r="F497">
        <v>25913000000</v>
      </c>
      <c r="G497" s="1">
        <v>43373</v>
      </c>
      <c r="H497" t="s">
        <v>13</v>
      </c>
      <c r="I497" t="s">
        <v>14</v>
      </c>
    </row>
    <row r="498" spans="1:9" x14ac:dyDescent="0.2">
      <c r="A498">
        <v>320193</v>
      </c>
      <c r="B498" t="s">
        <v>9</v>
      </c>
      <c r="C498" t="s">
        <v>39</v>
      </c>
      <c r="D498" t="s">
        <v>38</v>
      </c>
      <c r="E498" t="s">
        <v>12</v>
      </c>
      <c r="F498">
        <v>25913000000</v>
      </c>
      <c r="G498" s="1">
        <v>43373</v>
      </c>
      <c r="H498" t="s">
        <v>13</v>
      </c>
      <c r="I498" t="s">
        <v>14</v>
      </c>
    </row>
    <row r="499" spans="1:9" x14ac:dyDescent="0.2">
      <c r="A499">
        <v>320193</v>
      </c>
      <c r="B499" t="s">
        <v>9</v>
      </c>
      <c r="C499" t="s">
        <v>39</v>
      </c>
      <c r="D499" t="s">
        <v>38</v>
      </c>
      <c r="E499" t="s">
        <v>12</v>
      </c>
      <c r="F499">
        <v>48844000000</v>
      </c>
      <c r="G499" s="1">
        <v>43737</v>
      </c>
      <c r="H499" t="s">
        <v>13</v>
      </c>
      <c r="I499" t="s">
        <v>14</v>
      </c>
    </row>
    <row r="500" spans="1:9" x14ac:dyDescent="0.2">
      <c r="A500">
        <v>320193</v>
      </c>
      <c r="B500" t="s">
        <v>9</v>
      </c>
      <c r="C500" t="s">
        <v>39</v>
      </c>
      <c r="D500" t="s">
        <v>38</v>
      </c>
      <c r="E500" t="s">
        <v>12</v>
      </c>
      <c r="F500">
        <v>48844000000</v>
      </c>
      <c r="G500" s="1">
        <v>43737</v>
      </c>
      <c r="H500" t="s">
        <v>13</v>
      </c>
      <c r="I500" t="s">
        <v>14</v>
      </c>
    </row>
    <row r="501" spans="1:9" x14ac:dyDescent="0.2">
      <c r="A501">
        <v>320193</v>
      </c>
      <c r="B501" t="s">
        <v>9</v>
      </c>
      <c r="C501" t="s">
        <v>39</v>
      </c>
      <c r="D501" t="s">
        <v>38</v>
      </c>
      <c r="E501" t="s">
        <v>12</v>
      </c>
      <c r="F501">
        <v>48844000000</v>
      </c>
      <c r="G501" s="1">
        <v>43737</v>
      </c>
      <c r="H501" t="s">
        <v>13</v>
      </c>
      <c r="I501" t="s">
        <v>14</v>
      </c>
    </row>
    <row r="502" spans="1:9" x14ac:dyDescent="0.2">
      <c r="A502">
        <v>320193</v>
      </c>
      <c r="B502" t="s">
        <v>100</v>
      </c>
      <c r="C502" t="s">
        <v>39</v>
      </c>
      <c r="D502" t="s">
        <v>38</v>
      </c>
      <c r="E502" t="s">
        <v>12</v>
      </c>
      <c r="F502">
        <v>48844000000</v>
      </c>
      <c r="G502" s="1">
        <v>43737</v>
      </c>
      <c r="H502" t="s">
        <v>13</v>
      </c>
      <c r="I502" t="s">
        <v>14</v>
      </c>
    </row>
    <row r="503" spans="1:9" x14ac:dyDescent="0.2">
      <c r="A503">
        <v>320193</v>
      </c>
      <c r="B503" t="s">
        <v>100</v>
      </c>
      <c r="C503" t="s">
        <v>39</v>
      </c>
      <c r="D503" t="s">
        <v>38</v>
      </c>
      <c r="E503" t="s">
        <v>12</v>
      </c>
      <c r="F503">
        <v>48844000000</v>
      </c>
      <c r="G503" s="1">
        <v>43737</v>
      </c>
      <c r="H503" t="s">
        <v>13</v>
      </c>
      <c r="I503" t="s">
        <v>14</v>
      </c>
    </row>
    <row r="504" spans="1:9" x14ac:dyDescent="0.2">
      <c r="A504">
        <v>320193</v>
      </c>
      <c r="B504" t="s">
        <v>100</v>
      </c>
      <c r="C504" t="s">
        <v>39</v>
      </c>
      <c r="D504" t="s">
        <v>38</v>
      </c>
      <c r="E504" t="s">
        <v>12</v>
      </c>
      <c r="F504">
        <v>48844000000</v>
      </c>
      <c r="G504" s="1">
        <v>43737</v>
      </c>
      <c r="H504" t="s">
        <v>13</v>
      </c>
      <c r="I504" t="s">
        <v>14</v>
      </c>
    </row>
    <row r="505" spans="1:9" x14ac:dyDescent="0.2">
      <c r="A505">
        <v>320193</v>
      </c>
      <c r="B505" t="s">
        <v>99</v>
      </c>
      <c r="C505" t="s">
        <v>39</v>
      </c>
      <c r="D505" t="s">
        <v>38</v>
      </c>
      <c r="E505" t="s">
        <v>12</v>
      </c>
      <c r="F505">
        <v>38016000000</v>
      </c>
      <c r="G505" s="1">
        <v>44101</v>
      </c>
      <c r="H505" t="s">
        <v>13</v>
      </c>
      <c r="I505" t="s">
        <v>14</v>
      </c>
    </row>
    <row r="506" spans="1:9" x14ac:dyDescent="0.2">
      <c r="A506">
        <v>320193</v>
      </c>
      <c r="B506" t="s">
        <v>99</v>
      </c>
      <c r="C506" t="s">
        <v>39</v>
      </c>
      <c r="D506" t="s">
        <v>38</v>
      </c>
      <c r="E506" t="s">
        <v>12</v>
      </c>
      <c r="F506">
        <v>38016000000</v>
      </c>
      <c r="G506" s="1">
        <v>44101</v>
      </c>
      <c r="H506" t="s">
        <v>13</v>
      </c>
      <c r="I506" t="s">
        <v>14</v>
      </c>
    </row>
    <row r="507" spans="1:9" x14ac:dyDescent="0.2">
      <c r="A507">
        <v>320193</v>
      </c>
      <c r="B507" t="s">
        <v>100</v>
      </c>
      <c r="C507" t="s">
        <v>39</v>
      </c>
      <c r="D507" t="s">
        <v>38</v>
      </c>
      <c r="E507" t="s">
        <v>12</v>
      </c>
      <c r="F507">
        <v>38016000000</v>
      </c>
      <c r="G507" s="1">
        <v>44101</v>
      </c>
      <c r="H507" t="s">
        <v>13</v>
      </c>
      <c r="I507" t="s">
        <v>14</v>
      </c>
    </row>
    <row r="508" spans="1:9" x14ac:dyDescent="0.2">
      <c r="A508">
        <v>320193</v>
      </c>
      <c r="B508" t="s">
        <v>100</v>
      </c>
      <c r="C508" t="s">
        <v>39</v>
      </c>
      <c r="D508" t="s">
        <v>38</v>
      </c>
      <c r="E508" t="s">
        <v>12</v>
      </c>
      <c r="F508">
        <v>38016000000</v>
      </c>
      <c r="G508" s="1">
        <v>44101</v>
      </c>
      <c r="H508" t="s">
        <v>13</v>
      </c>
      <c r="I508" t="s">
        <v>14</v>
      </c>
    </row>
    <row r="509" spans="1:9" x14ac:dyDescent="0.2">
      <c r="A509">
        <v>320193</v>
      </c>
      <c r="B509" t="s">
        <v>100</v>
      </c>
      <c r="C509" t="s">
        <v>39</v>
      </c>
      <c r="D509" t="s">
        <v>38</v>
      </c>
      <c r="E509" t="s">
        <v>12</v>
      </c>
      <c r="F509">
        <v>38016000000</v>
      </c>
      <c r="G509" s="1">
        <v>44101</v>
      </c>
      <c r="H509" t="s">
        <v>13</v>
      </c>
      <c r="I509" t="s">
        <v>14</v>
      </c>
    </row>
    <row r="510" spans="1:9" x14ac:dyDescent="0.2">
      <c r="A510">
        <v>320193</v>
      </c>
      <c r="B510" t="s">
        <v>97</v>
      </c>
      <c r="C510" t="s">
        <v>39</v>
      </c>
      <c r="D510" t="s">
        <v>38</v>
      </c>
      <c r="E510" t="s">
        <v>12</v>
      </c>
      <c r="F510">
        <v>34940000000</v>
      </c>
      <c r="G510" s="1">
        <v>44465</v>
      </c>
      <c r="H510" t="s">
        <v>13</v>
      </c>
      <c r="I510" t="s">
        <v>14</v>
      </c>
    </row>
    <row r="511" spans="1:9" x14ac:dyDescent="0.2">
      <c r="A511">
        <v>320193</v>
      </c>
      <c r="B511" t="s">
        <v>97</v>
      </c>
      <c r="C511" t="s">
        <v>39</v>
      </c>
      <c r="D511" t="s">
        <v>38</v>
      </c>
      <c r="E511" t="s">
        <v>12</v>
      </c>
      <c r="F511">
        <v>34940000000</v>
      </c>
      <c r="G511" s="1">
        <v>44465</v>
      </c>
      <c r="H511" t="s">
        <v>13</v>
      </c>
      <c r="I511" t="s">
        <v>14</v>
      </c>
    </row>
    <row r="512" spans="1:9" x14ac:dyDescent="0.2">
      <c r="A512">
        <v>320193</v>
      </c>
      <c r="B512" t="s">
        <v>99</v>
      </c>
      <c r="C512" t="s">
        <v>39</v>
      </c>
      <c r="D512" t="s">
        <v>38</v>
      </c>
      <c r="E512" t="s">
        <v>12</v>
      </c>
      <c r="F512">
        <v>34940000000</v>
      </c>
      <c r="G512" s="1">
        <v>44465</v>
      </c>
      <c r="H512" t="s">
        <v>13</v>
      </c>
      <c r="I512" t="s">
        <v>14</v>
      </c>
    </row>
    <row r="513" spans="1:9" x14ac:dyDescent="0.2">
      <c r="A513">
        <v>320193</v>
      </c>
      <c r="B513" t="s">
        <v>99</v>
      </c>
      <c r="C513" t="s">
        <v>39</v>
      </c>
      <c r="D513" t="s">
        <v>38</v>
      </c>
      <c r="E513" t="s">
        <v>12</v>
      </c>
      <c r="F513">
        <v>34940000000</v>
      </c>
      <c r="G513" s="1">
        <v>44465</v>
      </c>
      <c r="H513" t="s">
        <v>13</v>
      </c>
      <c r="I513" t="s">
        <v>14</v>
      </c>
    </row>
    <row r="514" spans="1:9" x14ac:dyDescent="0.2">
      <c r="A514">
        <v>320193</v>
      </c>
      <c r="B514" t="s">
        <v>97</v>
      </c>
      <c r="C514" t="s">
        <v>39</v>
      </c>
      <c r="D514" t="s">
        <v>38</v>
      </c>
      <c r="E514" t="s">
        <v>12</v>
      </c>
      <c r="F514">
        <v>23646000000</v>
      </c>
      <c r="G514" s="1">
        <v>44829</v>
      </c>
      <c r="H514" t="s">
        <v>13</v>
      </c>
      <c r="I514" t="s">
        <v>14</v>
      </c>
    </row>
    <row r="515" spans="1:9" x14ac:dyDescent="0.2">
      <c r="A515">
        <v>320193</v>
      </c>
      <c r="B515" t="s">
        <v>97</v>
      </c>
      <c r="C515" t="s">
        <v>39</v>
      </c>
      <c r="D515" t="s">
        <v>38</v>
      </c>
      <c r="E515" t="s">
        <v>12</v>
      </c>
      <c r="F515">
        <v>23646000000</v>
      </c>
      <c r="G515" s="1">
        <v>44829</v>
      </c>
      <c r="H515" t="s">
        <v>13</v>
      </c>
      <c r="I515" t="s">
        <v>14</v>
      </c>
    </row>
    <row r="516" spans="1:9" x14ac:dyDescent="0.2">
      <c r="A516">
        <v>320193</v>
      </c>
      <c r="B516" t="s">
        <v>101</v>
      </c>
      <c r="C516" t="s">
        <v>39</v>
      </c>
      <c r="D516" t="s">
        <v>38</v>
      </c>
      <c r="E516" t="s">
        <v>12</v>
      </c>
      <c r="F516">
        <v>23646000000</v>
      </c>
      <c r="G516" s="1">
        <v>44829</v>
      </c>
      <c r="H516" t="s">
        <v>13</v>
      </c>
      <c r="I516" t="s">
        <v>14</v>
      </c>
    </row>
    <row r="517" spans="1:9" x14ac:dyDescent="0.2">
      <c r="A517">
        <v>320193</v>
      </c>
      <c r="B517" t="s">
        <v>101</v>
      </c>
      <c r="C517" t="s">
        <v>39</v>
      </c>
      <c r="D517" t="s">
        <v>38</v>
      </c>
      <c r="E517" t="s">
        <v>12</v>
      </c>
      <c r="F517">
        <v>23646000000</v>
      </c>
      <c r="G517" s="1">
        <v>44829</v>
      </c>
      <c r="H517" t="s">
        <v>13</v>
      </c>
      <c r="I517" t="s">
        <v>14</v>
      </c>
    </row>
    <row r="518" spans="1:9" x14ac:dyDescent="0.2">
      <c r="A518">
        <v>320193</v>
      </c>
      <c r="B518" t="s">
        <v>98</v>
      </c>
      <c r="C518" t="s">
        <v>39</v>
      </c>
      <c r="D518" t="s">
        <v>38</v>
      </c>
      <c r="E518" t="s">
        <v>12</v>
      </c>
      <c r="F518">
        <v>29965000000</v>
      </c>
      <c r="G518" s="1">
        <v>45200</v>
      </c>
      <c r="H518" t="s">
        <v>13</v>
      </c>
      <c r="I518" t="s">
        <v>14</v>
      </c>
    </row>
    <row r="519" spans="1:9" x14ac:dyDescent="0.2">
      <c r="A519">
        <v>320193</v>
      </c>
      <c r="B519" t="s">
        <v>98</v>
      </c>
      <c r="C519" t="s">
        <v>39</v>
      </c>
      <c r="D519" t="s">
        <v>38</v>
      </c>
      <c r="E519" t="s">
        <v>12</v>
      </c>
      <c r="F519">
        <v>29965000000</v>
      </c>
      <c r="G519" s="1">
        <v>45200</v>
      </c>
      <c r="H519" t="s">
        <v>13</v>
      </c>
      <c r="I519" t="s">
        <v>14</v>
      </c>
    </row>
    <row r="520" spans="1:9" x14ac:dyDescent="0.2">
      <c r="A520">
        <v>320193</v>
      </c>
      <c r="B520" t="s">
        <v>101</v>
      </c>
      <c r="C520" t="s">
        <v>39</v>
      </c>
      <c r="D520" t="s">
        <v>38</v>
      </c>
      <c r="E520" t="s">
        <v>12</v>
      </c>
      <c r="F520">
        <v>29965000000</v>
      </c>
      <c r="G520" s="1">
        <v>45200</v>
      </c>
      <c r="H520" t="s">
        <v>13</v>
      </c>
      <c r="I520" t="s">
        <v>14</v>
      </c>
    </row>
    <row r="521" spans="1:9" x14ac:dyDescent="0.2">
      <c r="A521">
        <v>320193</v>
      </c>
      <c r="B521" t="s">
        <v>101</v>
      </c>
      <c r="C521" t="s">
        <v>39</v>
      </c>
      <c r="D521" t="s">
        <v>38</v>
      </c>
      <c r="E521" t="s">
        <v>12</v>
      </c>
      <c r="F521">
        <v>29965000000</v>
      </c>
      <c r="G521" s="1">
        <v>45200</v>
      </c>
      <c r="H521" t="s">
        <v>13</v>
      </c>
      <c r="I521" t="s">
        <v>14</v>
      </c>
    </row>
    <row r="522" spans="1:9" x14ac:dyDescent="0.2">
      <c r="A522">
        <v>320193</v>
      </c>
      <c r="B522" t="s">
        <v>88</v>
      </c>
      <c r="C522" t="s">
        <v>39</v>
      </c>
      <c r="D522" t="s">
        <v>38</v>
      </c>
      <c r="E522" t="s">
        <v>12</v>
      </c>
      <c r="F522">
        <v>29943000000</v>
      </c>
      <c r="G522" s="1">
        <v>45564</v>
      </c>
      <c r="H522" t="s">
        <v>13</v>
      </c>
      <c r="I522" t="s">
        <v>14</v>
      </c>
    </row>
    <row r="523" spans="1:9" x14ac:dyDescent="0.2">
      <c r="A523">
        <v>320193</v>
      </c>
      <c r="B523" t="s">
        <v>88</v>
      </c>
      <c r="C523" t="s">
        <v>39</v>
      </c>
      <c r="D523" t="s">
        <v>38</v>
      </c>
      <c r="E523" t="s">
        <v>12</v>
      </c>
      <c r="F523">
        <v>29943000000</v>
      </c>
      <c r="G523" s="1">
        <v>45564</v>
      </c>
      <c r="H523" t="s">
        <v>13</v>
      </c>
      <c r="I523" t="s">
        <v>14</v>
      </c>
    </row>
    <row r="524" spans="1:9" x14ac:dyDescent="0.2">
      <c r="A524">
        <v>320193</v>
      </c>
      <c r="B524" t="s">
        <v>98</v>
      </c>
      <c r="C524" t="s">
        <v>39</v>
      </c>
      <c r="D524" t="s">
        <v>38</v>
      </c>
      <c r="E524" t="s">
        <v>12</v>
      </c>
      <c r="F524">
        <v>29943000000</v>
      </c>
      <c r="G524" s="1">
        <v>45564</v>
      </c>
      <c r="H524" t="s">
        <v>13</v>
      </c>
      <c r="I524" t="s">
        <v>14</v>
      </c>
    </row>
    <row r="525" spans="1:9" x14ac:dyDescent="0.2">
      <c r="A525">
        <v>320193</v>
      </c>
      <c r="B525" t="s">
        <v>98</v>
      </c>
      <c r="C525" t="s">
        <v>39</v>
      </c>
      <c r="D525" t="s">
        <v>38</v>
      </c>
      <c r="E525" t="s">
        <v>12</v>
      </c>
      <c r="F525">
        <v>29943000000</v>
      </c>
      <c r="G525" s="1">
        <v>45564</v>
      </c>
      <c r="H525" t="s">
        <v>13</v>
      </c>
      <c r="I525" t="s">
        <v>14</v>
      </c>
    </row>
    <row r="526" spans="1:9" x14ac:dyDescent="0.2">
      <c r="A526">
        <v>320193</v>
      </c>
      <c r="B526" t="s">
        <v>88</v>
      </c>
      <c r="C526" t="s">
        <v>39</v>
      </c>
      <c r="D526" t="s">
        <v>38</v>
      </c>
      <c r="E526" t="s">
        <v>12</v>
      </c>
      <c r="F526">
        <v>35934000000</v>
      </c>
      <c r="G526" s="1">
        <v>45928</v>
      </c>
      <c r="H526" t="s">
        <v>13</v>
      </c>
      <c r="I526" t="s">
        <v>14</v>
      </c>
    </row>
    <row r="527" spans="1:9" x14ac:dyDescent="0.2">
      <c r="A527">
        <v>320193</v>
      </c>
      <c r="B527" t="s">
        <v>88</v>
      </c>
      <c r="C527" t="s">
        <v>39</v>
      </c>
      <c r="D527" t="s">
        <v>38</v>
      </c>
      <c r="E527" t="s">
        <v>12</v>
      </c>
      <c r="F527">
        <v>35934000000</v>
      </c>
      <c r="G527" s="1">
        <v>45928</v>
      </c>
      <c r="H527" t="s">
        <v>13</v>
      </c>
      <c r="I527" t="s">
        <v>14</v>
      </c>
    </row>
    <row r="528" spans="1:9" x14ac:dyDescent="0.2">
      <c r="A528">
        <v>320193</v>
      </c>
      <c r="B528" t="s">
        <v>9</v>
      </c>
      <c r="C528" t="s">
        <v>84</v>
      </c>
      <c r="D528" t="s">
        <v>85</v>
      </c>
      <c r="E528" t="s">
        <v>12</v>
      </c>
      <c r="F528">
        <v>-17974000000</v>
      </c>
      <c r="G528" s="1">
        <v>43009</v>
      </c>
      <c r="H528" t="s">
        <v>13</v>
      </c>
      <c r="I528" t="s">
        <v>14</v>
      </c>
    </row>
    <row r="529" spans="1:9" x14ac:dyDescent="0.2">
      <c r="A529">
        <v>320193</v>
      </c>
      <c r="B529" t="s">
        <v>9</v>
      </c>
      <c r="C529" t="s">
        <v>84</v>
      </c>
      <c r="D529" t="s">
        <v>85</v>
      </c>
      <c r="E529" t="s">
        <v>12</v>
      </c>
      <c r="F529">
        <v>-87876000000</v>
      </c>
      <c r="G529" s="1">
        <v>43373</v>
      </c>
      <c r="H529" t="s">
        <v>13</v>
      </c>
      <c r="I529" t="s">
        <v>14</v>
      </c>
    </row>
    <row r="530" spans="1:9" x14ac:dyDescent="0.2">
      <c r="A530">
        <v>320193</v>
      </c>
      <c r="B530" t="s">
        <v>100</v>
      </c>
      <c r="C530" t="s">
        <v>84</v>
      </c>
      <c r="D530" t="s">
        <v>85</v>
      </c>
      <c r="E530" t="s">
        <v>12</v>
      </c>
      <c r="F530">
        <v>-87876000000</v>
      </c>
      <c r="G530" s="1">
        <v>43373</v>
      </c>
      <c r="H530" t="s">
        <v>13</v>
      </c>
      <c r="I530" t="s">
        <v>14</v>
      </c>
    </row>
    <row r="531" spans="1:9" x14ac:dyDescent="0.2">
      <c r="A531">
        <v>320193</v>
      </c>
      <c r="B531" t="s">
        <v>9</v>
      </c>
      <c r="C531" t="s">
        <v>84</v>
      </c>
      <c r="D531" t="s">
        <v>85</v>
      </c>
      <c r="E531" t="s">
        <v>12</v>
      </c>
      <c r="F531">
        <v>-90976000000</v>
      </c>
      <c r="G531" s="1">
        <v>43737</v>
      </c>
      <c r="H531" t="s">
        <v>13</v>
      </c>
      <c r="I531" t="s">
        <v>14</v>
      </c>
    </row>
    <row r="532" spans="1:9" x14ac:dyDescent="0.2">
      <c r="A532">
        <v>320193</v>
      </c>
      <c r="B532" t="s">
        <v>99</v>
      </c>
      <c r="C532" t="s">
        <v>84</v>
      </c>
      <c r="D532" t="s">
        <v>85</v>
      </c>
      <c r="E532" t="s">
        <v>12</v>
      </c>
      <c r="F532">
        <v>-90976000000</v>
      </c>
      <c r="G532" s="1">
        <v>43737</v>
      </c>
      <c r="H532" t="s">
        <v>13</v>
      </c>
      <c r="I532" t="s">
        <v>14</v>
      </c>
    </row>
    <row r="533" spans="1:9" x14ac:dyDescent="0.2">
      <c r="A533">
        <v>320193</v>
      </c>
      <c r="B533" t="s">
        <v>100</v>
      </c>
      <c r="C533" t="s">
        <v>84</v>
      </c>
      <c r="D533" t="s">
        <v>85</v>
      </c>
      <c r="E533" t="s">
        <v>12</v>
      </c>
      <c r="F533">
        <v>-90976000000</v>
      </c>
      <c r="G533" s="1">
        <v>43737</v>
      </c>
      <c r="H533" t="s">
        <v>13</v>
      </c>
      <c r="I533" t="s">
        <v>14</v>
      </c>
    </row>
    <row r="534" spans="1:9" x14ac:dyDescent="0.2">
      <c r="A534">
        <v>320193</v>
      </c>
      <c r="B534" t="s">
        <v>97</v>
      </c>
      <c r="C534" t="s">
        <v>84</v>
      </c>
      <c r="D534" t="s">
        <v>85</v>
      </c>
      <c r="E534" t="s">
        <v>12</v>
      </c>
      <c r="F534">
        <v>-86820000000</v>
      </c>
      <c r="G534" s="1">
        <v>44101</v>
      </c>
      <c r="H534" t="s">
        <v>13</v>
      </c>
      <c r="I534" t="s">
        <v>14</v>
      </c>
    </row>
    <row r="535" spans="1:9" x14ac:dyDescent="0.2">
      <c r="A535">
        <v>320193</v>
      </c>
      <c r="B535" t="s">
        <v>99</v>
      </c>
      <c r="C535" t="s">
        <v>84</v>
      </c>
      <c r="D535" t="s">
        <v>85</v>
      </c>
      <c r="E535" t="s">
        <v>12</v>
      </c>
      <c r="F535">
        <v>-86820000000</v>
      </c>
      <c r="G535" s="1">
        <v>44101</v>
      </c>
      <c r="H535" t="s">
        <v>13</v>
      </c>
      <c r="I535" t="s">
        <v>14</v>
      </c>
    </row>
    <row r="536" spans="1:9" x14ac:dyDescent="0.2">
      <c r="A536">
        <v>320193</v>
      </c>
      <c r="B536" t="s">
        <v>100</v>
      </c>
      <c r="C536" t="s">
        <v>84</v>
      </c>
      <c r="D536" t="s">
        <v>85</v>
      </c>
      <c r="E536" t="s">
        <v>12</v>
      </c>
      <c r="F536">
        <v>-86820000000</v>
      </c>
      <c r="G536" s="1">
        <v>44101</v>
      </c>
      <c r="H536" t="s">
        <v>13</v>
      </c>
      <c r="I536" t="s">
        <v>14</v>
      </c>
    </row>
    <row r="537" spans="1:9" x14ac:dyDescent="0.2">
      <c r="A537">
        <v>320193</v>
      </c>
      <c r="B537" t="s">
        <v>97</v>
      </c>
      <c r="C537" t="s">
        <v>84</v>
      </c>
      <c r="D537" t="s">
        <v>85</v>
      </c>
      <c r="E537" t="s">
        <v>12</v>
      </c>
      <c r="F537">
        <v>-93353000000</v>
      </c>
      <c r="G537" s="1">
        <v>44465</v>
      </c>
      <c r="H537" t="s">
        <v>13</v>
      </c>
      <c r="I537" t="s">
        <v>14</v>
      </c>
    </row>
    <row r="538" spans="1:9" x14ac:dyDescent="0.2">
      <c r="A538">
        <v>320193</v>
      </c>
      <c r="B538" t="s">
        <v>99</v>
      </c>
      <c r="C538" t="s">
        <v>84</v>
      </c>
      <c r="D538" t="s">
        <v>85</v>
      </c>
      <c r="E538" t="s">
        <v>12</v>
      </c>
      <c r="F538">
        <v>-93353000000</v>
      </c>
      <c r="G538" s="1">
        <v>44465</v>
      </c>
      <c r="H538" t="s">
        <v>13</v>
      </c>
      <c r="I538" t="s">
        <v>14</v>
      </c>
    </row>
    <row r="539" spans="1:9" x14ac:dyDescent="0.2">
      <c r="A539">
        <v>320193</v>
      </c>
      <c r="B539" t="s">
        <v>101</v>
      </c>
      <c r="C539" t="s">
        <v>84</v>
      </c>
      <c r="D539" t="s">
        <v>85</v>
      </c>
      <c r="E539" t="s">
        <v>12</v>
      </c>
      <c r="F539">
        <v>-93353000000</v>
      </c>
      <c r="G539" s="1">
        <v>44465</v>
      </c>
      <c r="H539" t="s">
        <v>13</v>
      </c>
      <c r="I539" t="s">
        <v>14</v>
      </c>
    </row>
    <row r="540" spans="1:9" x14ac:dyDescent="0.2">
      <c r="A540">
        <v>320193</v>
      </c>
      <c r="B540" t="s">
        <v>97</v>
      </c>
      <c r="C540" t="s">
        <v>84</v>
      </c>
      <c r="D540" t="s">
        <v>85</v>
      </c>
      <c r="E540" t="s">
        <v>12</v>
      </c>
      <c r="F540">
        <v>-110749000000</v>
      </c>
      <c r="G540" s="1">
        <v>44829</v>
      </c>
      <c r="H540" t="s">
        <v>13</v>
      </c>
      <c r="I540" t="s">
        <v>14</v>
      </c>
    </row>
    <row r="541" spans="1:9" x14ac:dyDescent="0.2">
      <c r="A541">
        <v>320193</v>
      </c>
      <c r="B541" t="s">
        <v>98</v>
      </c>
      <c r="C541" t="s">
        <v>84</v>
      </c>
      <c r="D541" t="s">
        <v>85</v>
      </c>
      <c r="E541" t="s">
        <v>12</v>
      </c>
      <c r="F541">
        <v>-110749000000</v>
      </c>
      <c r="G541" s="1">
        <v>44829</v>
      </c>
      <c r="H541" t="s">
        <v>13</v>
      </c>
      <c r="I541" t="s">
        <v>14</v>
      </c>
    </row>
    <row r="542" spans="1:9" x14ac:dyDescent="0.2">
      <c r="A542">
        <v>320193</v>
      </c>
      <c r="B542" t="s">
        <v>101</v>
      </c>
      <c r="C542" t="s">
        <v>84</v>
      </c>
      <c r="D542" t="s">
        <v>85</v>
      </c>
      <c r="E542" t="s">
        <v>12</v>
      </c>
      <c r="F542">
        <v>-110749000000</v>
      </c>
      <c r="G542" s="1">
        <v>44829</v>
      </c>
      <c r="H542" t="s">
        <v>13</v>
      </c>
      <c r="I542" t="s">
        <v>14</v>
      </c>
    </row>
    <row r="543" spans="1:9" x14ac:dyDescent="0.2">
      <c r="A543">
        <v>320193</v>
      </c>
      <c r="B543" t="s">
        <v>88</v>
      </c>
      <c r="C543" t="s">
        <v>84</v>
      </c>
      <c r="D543" t="s">
        <v>85</v>
      </c>
      <c r="E543" t="s">
        <v>12</v>
      </c>
      <c r="F543">
        <v>-108488000000</v>
      </c>
      <c r="G543" s="1">
        <v>45200</v>
      </c>
      <c r="H543" t="s">
        <v>13</v>
      </c>
      <c r="I543" t="s">
        <v>14</v>
      </c>
    </row>
    <row r="544" spans="1:9" x14ac:dyDescent="0.2">
      <c r="A544">
        <v>320193</v>
      </c>
      <c r="B544" t="s">
        <v>98</v>
      </c>
      <c r="C544" t="s">
        <v>84</v>
      </c>
      <c r="D544" t="s">
        <v>85</v>
      </c>
      <c r="E544" t="s">
        <v>12</v>
      </c>
      <c r="F544">
        <v>-108488000000</v>
      </c>
      <c r="G544" s="1">
        <v>45200</v>
      </c>
      <c r="H544" t="s">
        <v>13</v>
      </c>
      <c r="I544" t="s">
        <v>14</v>
      </c>
    </row>
    <row r="545" spans="1:9" x14ac:dyDescent="0.2">
      <c r="A545">
        <v>320193</v>
      </c>
      <c r="B545" t="s">
        <v>101</v>
      </c>
      <c r="C545" t="s">
        <v>84</v>
      </c>
      <c r="D545" t="s">
        <v>85</v>
      </c>
      <c r="E545" t="s">
        <v>12</v>
      </c>
      <c r="F545">
        <v>-108488000000</v>
      </c>
      <c r="G545" s="1">
        <v>45200</v>
      </c>
      <c r="H545" t="s">
        <v>13</v>
      </c>
      <c r="I545" t="s">
        <v>14</v>
      </c>
    </row>
    <row r="546" spans="1:9" x14ac:dyDescent="0.2">
      <c r="A546">
        <v>320193</v>
      </c>
      <c r="B546" t="s">
        <v>88</v>
      </c>
      <c r="C546" t="s">
        <v>84</v>
      </c>
      <c r="D546" t="s">
        <v>85</v>
      </c>
      <c r="E546" t="s">
        <v>12</v>
      </c>
      <c r="F546">
        <v>-121983000000</v>
      </c>
      <c r="G546" s="1">
        <v>45564</v>
      </c>
      <c r="H546" t="s">
        <v>13</v>
      </c>
      <c r="I546" t="s">
        <v>14</v>
      </c>
    </row>
    <row r="547" spans="1:9" x14ac:dyDescent="0.2">
      <c r="A547">
        <v>320193</v>
      </c>
      <c r="B547" t="s">
        <v>98</v>
      </c>
      <c r="C547" t="s">
        <v>84</v>
      </c>
      <c r="D547" t="s">
        <v>85</v>
      </c>
      <c r="E547" t="s">
        <v>12</v>
      </c>
      <c r="F547">
        <v>-121983000000</v>
      </c>
      <c r="G547" s="1">
        <v>45564</v>
      </c>
      <c r="H547" t="s">
        <v>13</v>
      </c>
      <c r="I547" t="s">
        <v>14</v>
      </c>
    </row>
    <row r="548" spans="1:9" x14ac:dyDescent="0.2">
      <c r="A548">
        <v>320193</v>
      </c>
      <c r="B548" t="s">
        <v>88</v>
      </c>
      <c r="C548" t="s">
        <v>84</v>
      </c>
      <c r="D548" t="s">
        <v>85</v>
      </c>
      <c r="E548" t="s">
        <v>12</v>
      </c>
      <c r="F548">
        <v>-120686000000</v>
      </c>
      <c r="G548" s="1">
        <v>45928</v>
      </c>
      <c r="H548" t="s">
        <v>13</v>
      </c>
      <c r="I548" t="s">
        <v>14</v>
      </c>
    </row>
    <row r="549" spans="1:9" x14ac:dyDescent="0.2">
      <c r="A549">
        <v>320193</v>
      </c>
      <c r="B549" t="s">
        <v>9</v>
      </c>
      <c r="C549" t="s">
        <v>72</v>
      </c>
      <c r="D549" t="s">
        <v>71</v>
      </c>
      <c r="E549" t="s">
        <v>12</v>
      </c>
      <c r="F549">
        <v>64225000000</v>
      </c>
      <c r="G549" s="1">
        <v>43009</v>
      </c>
      <c r="H549" t="s">
        <v>13</v>
      </c>
      <c r="I549" t="s">
        <v>14</v>
      </c>
    </row>
    <row r="550" spans="1:9" x14ac:dyDescent="0.2">
      <c r="A550">
        <v>320193</v>
      </c>
      <c r="B550" t="s">
        <v>9</v>
      </c>
      <c r="C550" t="s">
        <v>72</v>
      </c>
      <c r="D550" t="s">
        <v>73</v>
      </c>
      <c r="E550" t="s">
        <v>12</v>
      </c>
      <c r="F550">
        <v>12451000000</v>
      </c>
      <c r="G550" s="1">
        <v>43009</v>
      </c>
      <c r="H550" t="s">
        <v>13</v>
      </c>
      <c r="I550" t="s">
        <v>14</v>
      </c>
    </row>
    <row r="551" spans="1:9" x14ac:dyDescent="0.2">
      <c r="A551">
        <v>320193</v>
      </c>
      <c r="B551" t="s">
        <v>9</v>
      </c>
      <c r="C551" t="s">
        <v>72</v>
      </c>
      <c r="D551" t="s">
        <v>71</v>
      </c>
      <c r="E551" t="s">
        <v>12</v>
      </c>
      <c r="F551">
        <v>77434000000</v>
      </c>
      <c r="G551" s="1">
        <v>43373</v>
      </c>
      <c r="H551" t="s">
        <v>13</v>
      </c>
      <c r="I551" t="s">
        <v>14</v>
      </c>
    </row>
    <row r="552" spans="1:9" x14ac:dyDescent="0.2">
      <c r="A552">
        <v>320193</v>
      </c>
      <c r="B552" t="s">
        <v>9</v>
      </c>
      <c r="C552" t="s">
        <v>72</v>
      </c>
      <c r="D552" t="s">
        <v>73</v>
      </c>
      <c r="E552" t="s">
        <v>12</v>
      </c>
      <c r="F552">
        <v>13313000000</v>
      </c>
      <c r="G552" s="1">
        <v>43373</v>
      </c>
      <c r="H552" t="s">
        <v>13</v>
      </c>
      <c r="I552" t="s">
        <v>14</v>
      </c>
    </row>
    <row r="553" spans="1:9" x14ac:dyDescent="0.2">
      <c r="A553">
        <v>320193</v>
      </c>
      <c r="B553" t="s">
        <v>100</v>
      </c>
      <c r="C553" t="s">
        <v>72</v>
      </c>
      <c r="D553" t="s">
        <v>71</v>
      </c>
      <c r="E553" t="s">
        <v>12</v>
      </c>
      <c r="F553">
        <v>77434000000</v>
      </c>
      <c r="G553" s="1">
        <v>43373</v>
      </c>
      <c r="H553" t="s">
        <v>13</v>
      </c>
      <c r="I553" t="s">
        <v>14</v>
      </c>
    </row>
    <row r="554" spans="1:9" x14ac:dyDescent="0.2">
      <c r="A554">
        <v>320193</v>
      </c>
      <c r="B554" t="s">
        <v>100</v>
      </c>
      <c r="C554" t="s">
        <v>72</v>
      </c>
      <c r="D554" t="s">
        <v>73</v>
      </c>
      <c r="E554" t="s">
        <v>12</v>
      </c>
      <c r="F554">
        <v>13313000000</v>
      </c>
      <c r="G554" s="1">
        <v>43373</v>
      </c>
      <c r="H554" t="s">
        <v>13</v>
      </c>
      <c r="I554" t="s">
        <v>14</v>
      </c>
    </row>
    <row r="555" spans="1:9" x14ac:dyDescent="0.2">
      <c r="A555">
        <v>320193</v>
      </c>
      <c r="B555" t="s">
        <v>9</v>
      </c>
      <c r="C555" t="s">
        <v>72</v>
      </c>
      <c r="D555" t="s">
        <v>71</v>
      </c>
      <c r="E555" t="s">
        <v>12</v>
      </c>
      <c r="F555">
        <v>69391000000</v>
      </c>
      <c r="G555" s="1">
        <v>43737</v>
      </c>
      <c r="H555" t="s">
        <v>13</v>
      </c>
      <c r="I555" t="s">
        <v>14</v>
      </c>
    </row>
    <row r="556" spans="1:9" x14ac:dyDescent="0.2">
      <c r="A556">
        <v>320193</v>
      </c>
      <c r="B556" t="s">
        <v>9</v>
      </c>
      <c r="C556" t="s">
        <v>72</v>
      </c>
      <c r="D556" t="s">
        <v>73</v>
      </c>
      <c r="E556" t="s">
        <v>12</v>
      </c>
      <c r="F556">
        <v>10495000000</v>
      </c>
      <c r="G556" s="1">
        <v>43737</v>
      </c>
      <c r="H556" t="s">
        <v>13</v>
      </c>
      <c r="I556" t="s">
        <v>14</v>
      </c>
    </row>
    <row r="557" spans="1:9" x14ac:dyDescent="0.2">
      <c r="A557">
        <v>320193</v>
      </c>
      <c r="B557" t="s">
        <v>99</v>
      </c>
      <c r="C557" t="s">
        <v>72</v>
      </c>
      <c r="D557" t="s">
        <v>71</v>
      </c>
      <c r="E557" t="s">
        <v>12</v>
      </c>
      <c r="F557">
        <v>69391000000</v>
      </c>
      <c r="G557" s="1">
        <v>43737</v>
      </c>
      <c r="H557" t="s">
        <v>13</v>
      </c>
      <c r="I557" t="s">
        <v>14</v>
      </c>
    </row>
    <row r="558" spans="1:9" x14ac:dyDescent="0.2">
      <c r="A558">
        <v>320193</v>
      </c>
      <c r="B558" t="s">
        <v>99</v>
      </c>
      <c r="C558" t="s">
        <v>72</v>
      </c>
      <c r="D558" t="s">
        <v>73</v>
      </c>
      <c r="E558" t="s">
        <v>12</v>
      </c>
      <c r="F558">
        <v>10495000000</v>
      </c>
      <c r="G558" s="1">
        <v>43737</v>
      </c>
      <c r="H558" t="s">
        <v>13</v>
      </c>
      <c r="I558" t="s">
        <v>14</v>
      </c>
    </row>
    <row r="559" spans="1:9" x14ac:dyDescent="0.2">
      <c r="A559">
        <v>320193</v>
      </c>
      <c r="B559" t="s">
        <v>100</v>
      </c>
      <c r="C559" t="s">
        <v>72</v>
      </c>
      <c r="D559" t="s">
        <v>71</v>
      </c>
      <c r="E559" t="s">
        <v>12</v>
      </c>
      <c r="F559">
        <v>69391000000</v>
      </c>
      <c r="G559" s="1">
        <v>43737</v>
      </c>
      <c r="H559" t="s">
        <v>13</v>
      </c>
      <c r="I559" t="s">
        <v>14</v>
      </c>
    </row>
    <row r="560" spans="1:9" x14ac:dyDescent="0.2">
      <c r="A560">
        <v>320193</v>
      </c>
      <c r="B560" t="s">
        <v>100</v>
      </c>
      <c r="C560" t="s">
        <v>72</v>
      </c>
      <c r="D560" t="s">
        <v>73</v>
      </c>
      <c r="E560" t="s">
        <v>12</v>
      </c>
      <c r="F560">
        <v>10495000000</v>
      </c>
      <c r="G560" s="1">
        <v>43737</v>
      </c>
      <c r="H560" t="s">
        <v>13</v>
      </c>
      <c r="I560" t="s">
        <v>14</v>
      </c>
    </row>
    <row r="561" spans="1:9" x14ac:dyDescent="0.2">
      <c r="A561">
        <v>320193</v>
      </c>
      <c r="B561" t="s">
        <v>97</v>
      </c>
      <c r="C561" t="s">
        <v>72</v>
      </c>
      <c r="D561" t="s">
        <v>71</v>
      </c>
      <c r="E561" t="s">
        <v>12</v>
      </c>
      <c r="F561">
        <v>80674000000</v>
      </c>
      <c r="G561" s="1">
        <v>44101</v>
      </c>
      <c r="H561" t="s">
        <v>13</v>
      </c>
      <c r="I561" t="s">
        <v>14</v>
      </c>
    </row>
    <row r="562" spans="1:9" x14ac:dyDescent="0.2">
      <c r="A562">
        <v>320193</v>
      </c>
      <c r="B562" t="s">
        <v>97</v>
      </c>
      <c r="C562" t="s">
        <v>72</v>
      </c>
      <c r="D562" t="s">
        <v>73</v>
      </c>
      <c r="E562" t="s">
        <v>12</v>
      </c>
      <c r="F562">
        <v>7309000000</v>
      </c>
      <c r="G562" s="1">
        <v>44101</v>
      </c>
      <c r="H562" t="s">
        <v>13</v>
      </c>
      <c r="I562" t="s">
        <v>14</v>
      </c>
    </row>
    <row r="563" spans="1:9" x14ac:dyDescent="0.2">
      <c r="A563">
        <v>320193</v>
      </c>
      <c r="B563" t="s">
        <v>99</v>
      </c>
      <c r="C563" t="s">
        <v>72</v>
      </c>
      <c r="D563" t="s">
        <v>71</v>
      </c>
      <c r="E563" t="s">
        <v>12</v>
      </c>
      <c r="F563">
        <v>80674000000</v>
      </c>
      <c r="G563" s="1">
        <v>44101</v>
      </c>
      <c r="H563" t="s">
        <v>13</v>
      </c>
      <c r="I563" t="s">
        <v>14</v>
      </c>
    </row>
    <row r="564" spans="1:9" x14ac:dyDescent="0.2">
      <c r="A564">
        <v>320193</v>
      </c>
      <c r="B564" t="s">
        <v>99</v>
      </c>
      <c r="C564" t="s">
        <v>72</v>
      </c>
      <c r="D564" t="s">
        <v>73</v>
      </c>
      <c r="E564" t="s">
        <v>12</v>
      </c>
      <c r="F564">
        <v>7309000000</v>
      </c>
      <c r="G564" s="1">
        <v>44101</v>
      </c>
      <c r="H564" t="s">
        <v>13</v>
      </c>
      <c r="I564" t="s">
        <v>14</v>
      </c>
    </row>
    <row r="565" spans="1:9" x14ac:dyDescent="0.2">
      <c r="A565">
        <v>320193</v>
      </c>
      <c r="B565" t="s">
        <v>100</v>
      </c>
      <c r="C565" t="s">
        <v>72</v>
      </c>
      <c r="D565" t="s">
        <v>71</v>
      </c>
      <c r="E565" t="s">
        <v>12</v>
      </c>
      <c r="F565">
        <v>80674000000</v>
      </c>
      <c r="G565" s="1">
        <v>44101</v>
      </c>
      <c r="H565" t="s">
        <v>13</v>
      </c>
      <c r="I565" t="s">
        <v>14</v>
      </c>
    </row>
    <row r="566" spans="1:9" x14ac:dyDescent="0.2">
      <c r="A566">
        <v>320193</v>
      </c>
      <c r="B566" t="s">
        <v>100</v>
      </c>
      <c r="C566" t="s">
        <v>72</v>
      </c>
      <c r="D566" t="s">
        <v>73</v>
      </c>
      <c r="E566" t="s">
        <v>12</v>
      </c>
      <c r="F566">
        <v>7309000000</v>
      </c>
      <c r="G566" s="1">
        <v>44101</v>
      </c>
      <c r="H566" t="s">
        <v>13</v>
      </c>
      <c r="I566" t="s">
        <v>14</v>
      </c>
    </row>
    <row r="567" spans="1:9" x14ac:dyDescent="0.2">
      <c r="A567">
        <v>320193</v>
      </c>
      <c r="B567" t="s">
        <v>97</v>
      </c>
      <c r="C567" t="s">
        <v>72</v>
      </c>
      <c r="D567" t="s">
        <v>71</v>
      </c>
      <c r="E567" t="s">
        <v>12</v>
      </c>
      <c r="F567">
        <v>104038000000</v>
      </c>
      <c r="G567" s="1">
        <v>44465</v>
      </c>
      <c r="H567" t="s">
        <v>13</v>
      </c>
      <c r="I567" t="s">
        <v>14</v>
      </c>
    </row>
    <row r="568" spans="1:9" x14ac:dyDescent="0.2">
      <c r="A568">
        <v>320193</v>
      </c>
      <c r="B568" t="s">
        <v>97</v>
      </c>
      <c r="C568" t="s">
        <v>72</v>
      </c>
      <c r="D568" t="s">
        <v>73</v>
      </c>
      <c r="E568" t="s">
        <v>12</v>
      </c>
      <c r="F568">
        <v>11085000000</v>
      </c>
      <c r="G568" s="1">
        <v>44465</v>
      </c>
      <c r="H568" t="s">
        <v>13</v>
      </c>
      <c r="I568" t="s">
        <v>14</v>
      </c>
    </row>
    <row r="569" spans="1:9" x14ac:dyDescent="0.2">
      <c r="A569">
        <v>320193</v>
      </c>
      <c r="B569" t="s">
        <v>99</v>
      </c>
      <c r="C569" t="s">
        <v>72</v>
      </c>
      <c r="D569" t="s">
        <v>71</v>
      </c>
      <c r="E569" t="s">
        <v>12</v>
      </c>
      <c r="F569">
        <v>104038000000</v>
      </c>
      <c r="G569" s="1">
        <v>44465</v>
      </c>
      <c r="H569" t="s">
        <v>13</v>
      </c>
      <c r="I569" t="s">
        <v>14</v>
      </c>
    </row>
    <row r="570" spans="1:9" x14ac:dyDescent="0.2">
      <c r="A570">
        <v>320193</v>
      </c>
      <c r="B570" t="s">
        <v>99</v>
      </c>
      <c r="C570" t="s">
        <v>72</v>
      </c>
      <c r="D570" t="s">
        <v>73</v>
      </c>
      <c r="E570" t="s">
        <v>12</v>
      </c>
      <c r="F570">
        <v>11085000000</v>
      </c>
      <c r="G570" s="1">
        <v>44465</v>
      </c>
      <c r="H570" t="s">
        <v>13</v>
      </c>
      <c r="I570" t="s">
        <v>14</v>
      </c>
    </row>
    <row r="571" spans="1:9" x14ac:dyDescent="0.2">
      <c r="A571">
        <v>320193</v>
      </c>
      <c r="B571" t="s">
        <v>101</v>
      </c>
      <c r="C571" t="s">
        <v>72</v>
      </c>
      <c r="D571" t="s">
        <v>71</v>
      </c>
      <c r="E571" t="s">
        <v>12</v>
      </c>
      <c r="F571">
        <v>104038000000</v>
      </c>
      <c r="G571" s="1">
        <v>44465</v>
      </c>
      <c r="H571" t="s">
        <v>13</v>
      </c>
      <c r="I571" t="s">
        <v>14</v>
      </c>
    </row>
    <row r="572" spans="1:9" x14ac:dyDescent="0.2">
      <c r="A572">
        <v>320193</v>
      </c>
      <c r="B572" t="s">
        <v>101</v>
      </c>
      <c r="C572" t="s">
        <v>72</v>
      </c>
      <c r="D572" t="s">
        <v>73</v>
      </c>
      <c r="E572" t="s">
        <v>12</v>
      </c>
      <c r="F572">
        <v>11085000000</v>
      </c>
      <c r="G572" s="1">
        <v>44465</v>
      </c>
      <c r="H572" t="s">
        <v>13</v>
      </c>
      <c r="I572" t="s">
        <v>14</v>
      </c>
    </row>
    <row r="573" spans="1:9" x14ac:dyDescent="0.2">
      <c r="A573">
        <v>320193</v>
      </c>
      <c r="B573" t="s">
        <v>97</v>
      </c>
      <c r="C573" t="s">
        <v>72</v>
      </c>
      <c r="D573" t="s">
        <v>71</v>
      </c>
      <c r="E573" t="s">
        <v>12</v>
      </c>
      <c r="F573">
        <v>122151000000</v>
      </c>
      <c r="G573" s="1">
        <v>44829</v>
      </c>
      <c r="H573" t="s">
        <v>13</v>
      </c>
      <c r="I573" t="s">
        <v>14</v>
      </c>
    </row>
    <row r="574" spans="1:9" x14ac:dyDescent="0.2">
      <c r="A574">
        <v>320193</v>
      </c>
      <c r="B574" t="s">
        <v>97</v>
      </c>
      <c r="C574" t="s">
        <v>72</v>
      </c>
      <c r="D574" t="s">
        <v>73</v>
      </c>
      <c r="E574" t="s">
        <v>12</v>
      </c>
      <c r="F574">
        <v>10708000000</v>
      </c>
      <c r="G574" s="1">
        <v>44829</v>
      </c>
      <c r="H574" t="s">
        <v>13</v>
      </c>
      <c r="I574" t="s">
        <v>14</v>
      </c>
    </row>
    <row r="575" spans="1:9" x14ac:dyDescent="0.2">
      <c r="A575">
        <v>320193</v>
      </c>
      <c r="B575" t="s">
        <v>98</v>
      </c>
      <c r="C575" t="s">
        <v>72</v>
      </c>
      <c r="D575" t="s">
        <v>71</v>
      </c>
      <c r="E575" t="s">
        <v>12</v>
      </c>
      <c r="F575">
        <v>122151000000</v>
      </c>
      <c r="G575" s="1">
        <v>44829</v>
      </c>
      <c r="H575" t="s">
        <v>13</v>
      </c>
      <c r="I575" t="s">
        <v>14</v>
      </c>
    </row>
    <row r="576" spans="1:9" x14ac:dyDescent="0.2">
      <c r="A576">
        <v>320193</v>
      </c>
      <c r="B576" t="s">
        <v>98</v>
      </c>
      <c r="C576" t="s">
        <v>72</v>
      </c>
      <c r="D576" t="s">
        <v>73</v>
      </c>
      <c r="E576" t="s">
        <v>12</v>
      </c>
      <c r="F576">
        <v>10708000000</v>
      </c>
      <c r="G576" s="1">
        <v>44829</v>
      </c>
      <c r="H576" t="s">
        <v>13</v>
      </c>
      <c r="I576" t="s">
        <v>14</v>
      </c>
    </row>
    <row r="577" spans="1:9" x14ac:dyDescent="0.2">
      <c r="A577">
        <v>320193</v>
      </c>
      <c r="B577" t="s">
        <v>101</v>
      </c>
      <c r="C577" t="s">
        <v>72</v>
      </c>
      <c r="D577" t="s">
        <v>71</v>
      </c>
      <c r="E577" t="s">
        <v>12</v>
      </c>
      <c r="F577">
        <v>122151000000</v>
      </c>
      <c r="G577" s="1">
        <v>44829</v>
      </c>
      <c r="H577" t="s">
        <v>13</v>
      </c>
      <c r="I577" t="s">
        <v>14</v>
      </c>
    </row>
    <row r="578" spans="1:9" x14ac:dyDescent="0.2">
      <c r="A578">
        <v>320193</v>
      </c>
      <c r="B578" t="s">
        <v>101</v>
      </c>
      <c r="C578" t="s">
        <v>72</v>
      </c>
      <c r="D578" t="s">
        <v>73</v>
      </c>
      <c r="E578" t="s">
        <v>12</v>
      </c>
      <c r="F578">
        <v>10708000000</v>
      </c>
      <c r="G578" s="1">
        <v>44829</v>
      </c>
      <c r="H578" t="s">
        <v>13</v>
      </c>
      <c r="I578" t="s">
        <v>14</v>
      </c>
    </row>
    <row r="579" spans="1:9" x14ac:dyDescent="0.2">
      <c r="A579">
        <v>320193</v>
      </c>
      <c r="B579" t="s">
        <v>88</v>
      </c>
      <c r="C579" t="s">
        <v>72</v>
      </c>
      <c r="D579" t="s">
        <v>71</v>
      </c>
      <c r="E579" t="s">
        <v>12</v>
      </c>
      <c r="F579">
        <v>110543000000</v>
      </c>
      <c r="G579" s="1">
        <v>45200</v>
      </c>
      <c r="H579" t="s">
        <v>13</v>
      </c>
      <c r="I579" t="s">
        <v>14</v>
      </c>
    </row>
    <row r="580" spans="1:9" x14ac:dyDescent="0.2">
      <c r="A580">
        <v>320193</v>
      </c>
      <c r="B580" t="s">
        <v>88</v>
      </c>
      <c r="C580" t="s">
        <v>72</v>
      </c>
      <c r="D580" t="s">
        <v>73</v>
      </c>
      <c r="E580" t="s">
        <v>12</v>
      </c>
      <c r="F580">
        <v>10959000000</v>
      </c>
      <c r="G580" s="1">
        <v>45200</v>
      </c>
      <c r="H580" t="s">
        <v>13</v>
      </c>
      <c r="I580" t="s">
        <v>14</v>
      </c>
    </row>
    <row r="581" spans="1:9" x14ac:dyDescent="0.2">
      <c r="A581">
        <v>320193</v>
      </c>
      <c r="B581" t="s">
        <v>98</v>
      </c>
      <c r="C581" t="s">
        <v>72</v>
      </c>
      <c r="D581" t="s">
        <v>71</v>
      </c>
      <c r="E581" t="s">
        <v>12</v>
      </c>
      <c r="F581">
        <v>110543000000</v>
      </c>
      <c r="G581" s="1">
        <v>45200</v>
      </c>
      <c r="H581" t="s">
        <v>13</v>
      </c>
      <c r="I581" t="s">
        <v>14</v>
      </c>
    </row>
    <row r="582" spans="1:9" x14ac:dyDescent="0.2">
      <c r="A582">
        <v>320193</v>
      </c>
      <c r="B582" t="s">
        <v>98</v>
      </c>
      <c r="C582" t="s">
        <v>72</v>
      </c>
      <c r="D582" t="s">
        <v>73</v>
      </c>
      <c r="E582" t="s">
        <v>12</v>
      </c>
      <c r="F582">
        <v>10959000000</v>
      </c>
      <c r="G582" s="1">
        <v>45200</v>
      </c>
      <c r="H582" t="s">
        <v>13</v>
      </c>
      <c r="I582" t="s">
        <v>14</v>
      </c>
    </row>
    <row r="583" spans="1:9" x14ac:dyDescent="0.2">
      <c r="A583">
        <v>320193</v>
      </c>
      <c r="B583" t="s">
        <v>101</v>
      </c>
      <c r="C583" t="s">
        <v>72</v>
      </c>
      <c r="D583" t="s">
        <v>71</v>
      </c>
      <c r="E583" t="s">
        <v>12</v>
      </c>
      <c r="F583">
        <v>110543000000</v>
      </c>
      <c r="G583" s="1">
        <v>45200</v>
      </c>
      <c r="H583" t="s">
        <v>13</v>
      </c>
      <c r="I583" t="s">
        <v>14</v>
      </c>
    </row>
    <row r="584" spans="1:9" x14ac:dyDescent="0.2">
      <c r="A584">
        <v>320193</v>
      </c>
      <c r="B584" t="s">
        <v>101</v>
      </c>
      <c r="C584" t="s">
        <v>72</v>
      </c>
      <c r="D584" t="s">
        <v>73</v>
      </c>
      <c r="E584" t="s">
        <v>12</v>
      </c>
      <c r="F584">
        <v>10959000000</v>
      </c>
      <c r="G584" s="1">
        <v>45200</v>
      </c>
      <c r="H584" t="s">
        <v>13</v>
      </c>
      <c r="I584" t="s">
        <v>14</v>
      </c>
    </row>
    <row r="585" spans="1:9" x14ac:dyDescent="0.2">
      <c r="A585">
        <v>320193</v>
      </c>
      <c r="B585" t="s">
        <v>88</v>
      </c>
      <c r="C585" t="s">
        <v>72</v>
      </c>
      <c r="D585" t="s">
        <v>71</v>
      </c>
      <c r="E585" t="s">
        <v>12</v>
      </c>
      <c r="F585">
        <v>118254000000</v>
      </c>
      <c r="G585" s="1">
        <v>45564</v>
      </c>
      <c r="H585" t="s">
        <v>13</v>
      </c>
      <c r="I585" t="s">
        <v>14</v>
      </c>
    </row>
    <row r="586" spans="1:9" x14ac:dyDescent="0.2">
      <c r="A586">
        <v>320193</v>
      </c>
      <c r="B586" t="s">
        <v>88</v>
      </c>
      <c r="C586" t="s">
        <v>72</v>
      </c>
      <c r="D586" t="s">
        <v>73</v>
      </c>
      <c r="E586" t="s">
        <v>12</v>
      </c>
      <c r="F586">
        <v>9447000000</v>
      </c>
      <c r="G586" s="1">
        <v>45564</v>
      </c>
      <c r="H586" t="s">
        <v>13</v>
      </c>
      <c r="I586" t="s">
        <v>14</v>
      </c>
    </row>
    <row r="587" spans="1:9" x14ac:dyDescent="0.2">
      <c r="A587">
        <v>320193</v>
      </c>
      <c r="B587" t="s">
        <v>98</v>
      </c>
      <c r="C587" t="s">
        <v>72</v>
      </c>
      <c r="D587" t="s">
        <v>71</v>
      </c>
      <c r="E587" t="s">
        <v>12</v>
      </c>
      <c r="F587">
        <v>118254000000</v>
      </c>
      <c r="G587" s="1">
        <v>45564</v>
      </c>
      <c r="H587" t="s">
        <v>13</v>
      </c>
      <c r="I587" t="s">
        <v>14</v>
      </c>
    </row>
    <row r="588" spans="1:9" x14ac:dyDescent="0.2">
      <c r="A588">
        <v>320193</v>
      </c>
      <c r="B588" t="s">
        <v>98</v>
      </c>
      <c r="C588" t="s">
        <v>72</v>
      </c>
      <c r="D588" t="s">
        <v>73</v>
      </c>
      <c r="E588" t="s">
        <v>12</v>
      </c>
      <c r="F588">
        <v>9447000000</v>
      </c>
      <c r="G588" s="1">
        <v>45564</v>
      </c>
      <c r="H588" t="s">
        <v>13</v>
      </c>
      <c r="I588" t="s">
        <v>14</v>
      </c>
    </row>
    <row r="589" spans="1:9" x14ac:dyDescent="0.2">
      <c r="A589">
        <v>320193</v>
      </c>
      <c r="B589" t="s">
        <v>88</v>
      </c>
      <c r="C589" t="s">
        <v>72</v>
      </c>
      <c r="D589" t="s">
        <v>71</v>
      </c>
      <c r="E589" t="s">
        <v>12</v>
      </c>
      <c r="F589">
        <v>111482000000</v>
      </c>
      <c r="G589" s="1">
        <v>45928</v>
      </c>
      <c r="H589" t="s">
        <v>13</v>
      </c>
      <c r="I589" t="s">
        <v>14</v>
      </c>
    </row>
    <row r="590" spans="1:9" x14ac:dyDescent="0.2">
      <c r="A590">
        <v>320193</v>
      </c>
      <c r="B590" t="s">
        <v>88</v>
      </c>
      <c r="C590" t="s">
        <v>72</v>
      </c>
      <c r="D590" t="s">
        <v>73</v>
      </c>
      <c r="E590" t="s">
        <v>12</v>
      </c>
      <c r="F590">
        <v>12715000000</v>
      </c>
      <c r="G590" s="1">
        <v>45928</v>
      </c>
      <c r="H590" t="s">
        <v>13</v>
      </c>
      <c r="I590" t="s">
        <v>14</v>
      </c>
    </row>
    <row r="591" spans="1:9" x14ac:dyDescent="0.2">
      <c r="A591">
        <v>320193</v>
      </c>
      <c r="B591" t="s">
        <v>9</v>
      </c>
      <c r="C591" t="s">
        <v>17</v>
      </c>
      <c r="D591" t="s">
        <v>18</v>
      </c>
      <c r="E591" t="s">
        <v>12</v>
      </c>
      <c r="F591">
        <v>88186000000</v>
      </c>
      <c r="G591" s="1">
        <v>43009</v>
      </c>
      <c r="H591" t="s">
        <v>13</v>
      </c>
      <c r="I591" t="s">
        <v>14</v>
      </c>
    </row>
    <row r="592" spans="1:9" x14ac:dyDescent="0.2">
      <c r="A592">
        <v>320193</v>
      </c>
      <c r="B592" t="s">
        <v>9</v>
      </c>
      <c r="C592" t="s">
        <v>17</v>
      </c>
      <c r="D592" t="s">
        <v>18</v>
      </c>
      <c r="E592" t="s">
        <v>12</v>
      </c>
      <c r="F592">
        <v>33912000000</v>
      </c>
      <c r="G592" s="1">
        <v>43100</v>
      </c>
      <c r="H592" t="s">
        <v>13</v>
      </c>
      <c r="I592" t="s">
        <v>14</v>
      </c>
    </row>
    <row r="593" spans="1:9" x14ac:dyDescent="0.2">
      <c r="A593">
        <v>320193</v>
      </c>
      <c r="B593" t="s">
        <v>9</v>
      </c>
      <c r="C593" t="s">
        <v>17</v>
      </c>
      <c r="D593" t="s">
        <v>18</v>
      </c>
      <c r="E593" t="s">
        <v>12</v>
      </c>
      <c r="F593">
        <v>23422000000</v>
      </c>
      <c r="G593" s="1">
        <v>43191</v>
      </c>
      <c r="H593" t="s">
        <v>13</v>
      </c>
      <c r="I593" t="s">
        <v>14</v>
      </c>
    </row>
    <row r="594" spans="1:9" x14ac:dyDescent="0.2">
      <c r="A594">
        <v>320193</v>
      </c>
      <c r="B594" t="s">
        <v>9</v>
      </c>
      <c r="C594" t="s">
        <v>17</v>
      </c>
      <c r="D594" t="s">
        <v>18</v>
      </c>
      <c r="E594" t="s">
        <v>12</v>
      </c>
      <c r="F594">
        <v>20421000000</v>
      </c>
      <c r="G594" s="1">
        <v>43282</v>
      </c>
      <c r="H594" t="s">
        <v>13</v>
      </c>
      <c r="I594" t="s">
        <v>14</v>
      </c>
    </row>
    <row r="595" spans="1:9" x14ac:dyDescent="0.2">
      <c r="A595">
        <v>320193</v>
      </c>
      <c r="B595" t="s">
        <v>9</v>
      </c>
      <c r="C595" t="s">
        <v>17</v>
      </c>
      <c r="D595" t="s">
        <v>18</v>
      </c>
      <c r="E595" t="s">
        <v>12</v>
      </c>
      <c r="F595">
        <v>101839000000</v>
      </c>
      <c r="G595" s="1">
        <v>43373</v>
      </c>
      <c r="H595" t="s">
        <v>13</v>
      </c>
      <c r="I595" t="s">
        <v>14</v>
      </c>
    </row>
    <row r="596" spans="1:9" x14ac:dyDescent="0.2">
      <c r="A596">
        <v>320193</v>
      </c>
      <c r="B596" t="s">
        <v>9</v>
      </c>
      <c r="C596" t="s">
        <v>17</v>
      </c>
      <c r="D596" t="s">
        <v>18</v>
      </c>
      <c r="E596" t="s">
        <v>12</v>
      </c>
      <c r="F596">
        <v>24084000000</v>
      </c>
      <c r="G596" s="1">
        <v>43373</v>
      </c>
      <c r="H596" t="s">
        <v>13</v>
      </c>
      <c r="I596" t="s">
        <v>14</v>
      </c>
    </row>
    <row r="597" spans="1:9" x14ac:dyDescent="0.2">
      <c r="A597">
        <v>320193</v>
      </c>
      <c r="B597" t="s">
        <v>100</v>
      </c>
      <c r="C597" t="s">
        <v>17</v>
      </c>
      <c r="D597" t="s">
        <v>18</v>
      </c>
      <c r="E597" t="s">
        <v>12</v>
      </c>
      <c r="F597">
        <v>101839000000</v>
      </c>
      <c r="G597" s="1">
        <v>43373</v>
      </c>
      <c r="H597" t="s">
        <v>13</v>
      </c>
      <c r="I597" t="s">
        <v>14</v>
      </c>
    </row>
    <row r="598" spans="1:9" x14ac:dyDescent="0.2">
      <c r="A598">
        <v>320193</v>
      </c>
      <c r="B598" t="s">
        <v>9</v>
      </c>
      <c r="C598" t="s">
        <v>17</v>
      </c>
      <c r="D598" t="s">
        <v>18</v>
      </c>
      <c r="E598" t="s">
        <v>12</v>
      </c>
      <c r="F598">
        <v>32031000000</v>
      </c>
      <c r="G598" s="1">
        <v>43464</v>
      </c>
      <c r="H598" t="s">
        <v>13</v>
      </c>
      <c r="I598" t="s">
        <v>14</v>
      </c>
    </row>
    <row r="599" spans="1:9" x14ac:dyDescent="0.2">
      <c r="A599">
        <v>320193</v>
      </c>
      <c r="B599" t="s">
        <v>100</v>
      </c>
      <c r="C599" t="s">
        <v>17</v>
      </c>
      <c r="D599" t="s">
        <v>18</v>
      </c>
      <c r="E599" t="s">
        <v>12</v>
      </c>
      <c r="F599">
        <v>32031000000</v>
      </c>
      <c r="G599" s="1">
        <v>43464</v>
      </c>
      <c r="H599" t="s">
        <v>13</v>
      </c>
      <c r="I599" t="s">
        <v>14</v>
      </c>
    </row>
    <row r="600" spans="1:9" x14ac:dyDescent="0.2">
      <c r="A600">
        <v>320193</v>
      </c>
      <c r="B600" t="s">
        <v>9</v>
      </c>
      <c r="C600" t="s">
        <v>17</v>
      </c>
      <c r="D600" t="s">
        <v>18</v>
      </c>
      <c r="E600" t="s">
        <v>12</v>
      </c>
      <c r="F600">
        <v>21821000000</v>
      </c>
      <c r="G600" s="1">
        <v>43555</v>
      </c>
      <c r="H600" t="s">
        <v>13</v>
      </c>
      <c r="I600" t="s">
        <v>14</v>
      </c>
    </row>
    <row r="601" spans="1:9" x14ac:dyDescent="0.2">
      <c r="A601">
        <v>320193</v>
      </c>
      <c r="B601" t="s">
        <v>100</v>
      </c>
      <c r="C601" t="s">
        <v>17</v>
      </c>
      <c r="D601" t="s">
        <v>18</v>
      </c>
      <c r="E601" t="s">
        <v>12</v>
      </c>
      <c r="F601">
        <v>21821000000</v>
      </c>
      <c r="G601" s="1">
        <v>43555</v>
      </c>
      <c r="H601" t="s">
        <v>13</v>
      </c>
      <c r="I601" t="s">
        <v>14</v>
      </c>
    </row>
    <row r="602" spans="1:9" x14ac:dyDescent="0.2">
      <c r="A602">
        <v>320193</v>
      </c>
      <c r="B602" t="s">
        <v>9</v>
      </c>
      <c r="C602" t="s">
        <v>17</v>
      </c>
      <c r="D602" t="s">
        <v>18</v>
      </c>
      <c r="E602" t="s">
        <v>12</v>
      </c>
      <c r="F602">
        <v>20227000000</v>
      </c>
      <c r="G602" s="1">
        <v>43646</v>
      </c>
      <c r="H602" t="s">
        <v>13</v>
      </c>
      <c r="I602" t="s">
        <v>14</v>
      </c>
    </row>
    <row r="603" spans="1:9" x14ac:dyDescent="0.2">
      <c r="A603">
        <v>320193</v>
      </c>
      <c r="B603" t="s">
        <v>100</v>
      </c>
      <c r="C603" t="s">
        <v>17</v>
      </c>
      <c r="D603" t="s">
        <v>18</v>
      </c>
      <c r="E603" t="s">
        <v>12</v>
      </c>
      <c r="F603">
        <v>20227000000</v>
      </c>
      <c r="G603" s="1">
        <v>43646</v>
      </c>
      <c r="H603" t="s">
        <v>13</v>
      </c>
      <c r="I603" t="s">
        <v>14</v>
      </c>
    </row>
    <row r="604" spans="1:9" x14ac:dyDescent="0.2">
      <c r="A604">
        <v>320193</v>
      </c>
      <c r="B604" t="s">
        <v>9</v>
      </c>
      <c r="C604" t="s">
        <v>17</v>
      </c>
      <c r="D604" t="s">
        <v>18</v>
      </c>
      <c r="E604" t="s">
        <v>12</v>
      </c>
      <c r="F604">
        <v>98392000000</v>
      </c>
      <c r="G604" s="1">
        <v>43737</v>
      </c>
      <c r="H604" t="s">
        <v>13</v>
      </c>
      <c r="I604" t="s">
        <v>14</v>
      </c>
    </row>
    <row r="605" spans="1:9" x14ac:dyDescent="0.2">
      <c r="A605">
        <v>320193</v>
      </c>
      <c r="B605" t="s">
        <v>9</v>
      </c>
      <c r="C605" t="s">
        <v>17</v>
      </c>
      <c r="D605" t="s">
        <v>18</v>
      </c>
      <c r="E605" t="s">
        <v>12</v>
      </c>
      <c r="F605">
        <v>24313000000</v>
      </c>
      <c r="G605" s="1">
        <v>43737</v>
      </c>
      <c r="H605" t="s">
        <v>13</v>
      </c>
      <c r="I605" t="s">
        <v>14</v>
      </c>
    </row>
    <row r="606" spans="1:9" x14ac:dyDescent="0.2">
      <c r="A606">
        <v>320193</v>
      </c>
      <c r="B606" t="s">
        <v>99</v>
      </c>
      <c r="C606" t="s">
        <v>17</v>
      </c>
      <c r="D606" t="s">
        <v>18</v>
      </c>
      <c r="E606" t="s">
        <v>12</v>
      </c>
      <c r="F606">
        <v>98392000000</v>
      </c>
      <c r="G606" s="1">
        <v>43737</v>
      </c>
      <c r="H606" t="s">
        <v>13</v>
      </c>
      <c r="I606" t="s">
        <v>14</v>
      </c>
    </row>
    <row r="607" spans="1:9" x14ac:dyDescent="0.2">
      <c r="A607">
        <v>320193</v>
      </c>
      <c r="B607" t="s">
        <v>100</v>
      </c>
      <c r="C607" t="s">
        <v>17</v>
      </c>
      <c r="D607" t="s">
        <v>18</v>
      </c>
      <c r="E607" t="s">
        <v>12</v>
      </c>
      <c r="F607">
        <v>98392000000</v>
      </c>
      <c r="G607" s="1">
        <v>43737</v>
      </c>
      <c r="H607" t="s">
        <v>13</v>
      </c>
      <c r="I607" t="s">
        <v>14</v>
      </c>
    </row>
    <row r="608" spans="1:9" x14ac:dyDescent="0.2">
      <c r="A608">
        <v>320193</v>
      </c>
      <c r="B608" t="s">
        <v>100</v>
      </c>
      <c r="C608" t="s">
        <v>17</v>
      </c>
      <c r="D608" t="s">
        <v>18</v>
      </c>
      <c r="E608" t="s">
        <v>12</v>
      </c>
      <c r="F608">
        <v>24313000000</v>
      </c>
      <c r="G608" s="1">
        <v>43737</v>
      </c>
      <c r="H608" t="s">
        <v>13</v>
      </c>
      <c r="I608" t="s">
        <v>14</v>
      </c>
    </row>
    <row r="609" spans="1:9" x14ac:dyDescent="0.2">
      <c r="A609">
        <v>320193</v>
      </c>
      <c r="B609" t="s">
        <v>100</v>
      </c>
      <c r="C609" t="s">
        <v>17</v>
      </c>
      <c r="D609" t="s">
        <v>18</v>
      </c>
      <c r="E609" t="s">
        <v>12</v>
      </c>
      <c r="F609">
        <v>35217000000</v>
      </c>
      <c r="G609" s="1">
        <v>43828</v>
      </c>
      <c r="H609" t="s">
        <v>13</v>
      </c>
      <c r="I609" t="s">
        <v>14</v>
      </c>
    </row>
    <row r="610" spans="1:9" x14ac:dyDescent="0.2">
      <c r="A610">
        <v>320193</v>
      </c>
      <c r="B610" t="s">
        <v>100</v>
      </c>
      <c r="C610" t="s">
        <v>17</v>
      </c>
      <c r="D610" t="s">
        <v>18</v>
      </c>
      <c r="E610" t="s">
        <v>12</v>
      </c>
      <c r="F610">
        <v>22370000000</v>
      </c>
      <c r="G610" s="1">
        <v>43919</v>
      </c>
      <c r="H610" t="s">
        <v>13</v>
      </c>
      <c r="I610" t="s">
        <v>14</v>
      </c>
    </row>
    <row r="611" spans="1:9" x14ac:dyDescent="0.2">
      <c r="A611">
        <v>320193</v>
      </c>
      <c r="B611" t="s">
        <v>100</v>
      </c>
      <c r="C611" t="s">
        <v>17</v>
      </c>
      <c r="D611" t="s">
        <v>18</v>
      </c>
      <c r="E611" t="s">
        <v>12</v>
      </c>
      <c r="F611">
        <v>22680000000</v>
      </c>
      <c r="G611" s="1">
        <v>44010</v>
      </c>
      <c r="H611" t="s">
        <v>13</v>
      </c>
      <c r="I611" t="s">
        <v>14</v>
      </c>
    </row>
    <row r="612" spans="1:9" x14ac:dyDescent="0.2">
      <c r="A612">
        <v>320193</v>
      </c>
      <c r="B612" t="s">
        <v>97</v>
      </c>
      <c r="C612" t="s">
        <v>17</v>
      </c>
      <c r="D612" t="s">
        <v>18</v>
      </c>
      <c r="E612" t="s">
        <v>12</v>
      </c>
      <c r="F612">
        <v>104956000000</v>
      </c>
      <c r="G612" s="1">
        <v>44101</v>
      </c>
      <c r="H612" t="s">
        <v>13</v>
      </c>
      <c r="I612" t="s">
        <v>14</v>
      </c>
    </row>
    <row r="613" spans="1:9" x14ac:dyDescent="0.2">
      <c r="A613">
        <v>320193</v>
      </c>
      <c r="B613" t="s">
        <v>99</v>
      </c>
      <c r="C613" t="s">
        <v>17</v>
      </c>
      <c r="D613" t="s">
        <v>18</v>
      </c>
      <c r="E613" t="s">
        <v>12</v>
      </c>
      <c r="F613">
        <v>104956000000</v>
      </c>
      <c r="G613" s="1">
        <v>44101</v>
      </c>
      <c r="H613" t="s">
        <v>13</v>
      </c>
      <c r="I613" t="s">
        <v>14</v>
      </c>
    </row>
    <row r="614" spans="1:9" x14ac:dyDescent="0.2">
      <c r="A614">
        <v>320193</v>
      </c>
      <c r="B614" t="s">
        <v>100</v>
      </c>
      <c r="C614" t="s">
        <v>17</v>
      </c>
      <c r="D614" t="s">
        <v>18</v>
      </c>
      <c r="E614" t="s">
        <v>12</v>
      </c>
      <c r="F614">
        <v>104956000000</v>
      </c>
      <c r="G614" s="1">
        <v>44101</v>
      </c>
      <c r="H614" t="s">
        <v>13</v>
      </c>
      <c r="I614" t="s">
        <v>14</v>
      </c>
    </row>
    <row r="615" spans="1:9" x14ac:dyDescent="0.2">
      <c r="A615">
        <v>320193</v>
      </c>
      <c r="B615" t="s">
        <v>100</v>
      </c>
      <c r="C615" t="s">
        <v>17</v>
      </c>
      <c r="D615" t="s">
        <v>18</v>
      </c>
      <c r="E615" t="s">
        <v>12</v>
      </c>
      <c r="F615">
        <v>24689000000</v>
      </c>
      <c r="G615" s="1">
        <v>44101</v>
      </c>
      <c r="H615" t="s">
        <v>13</v>
      </c>
      <c r="I615" t="s">
        <v>14</v>
      </c>
    </row>
    <row r="616" spans="1:9" x14ac:dyDescent="0.2">
      <c r="A616">
        <v>320193</v>
      </c>
      <c r="B616" t="s">
        <v>97</v>
      </c>
      <c r="C616" t="s">
        <v>17</v>
      </c>
      <c r="D616" t="s">
        <v>18</v>
      </c>
      <c r="E616" t="s">
        <v>12</v>
      </c>
      <c r="F616">
        <v>152836000000</v>
      </c>
      <c r="G616" s="1">
        <v>44465</v>
      </c>
      <c r="H616" t="s">
        <v>13</v>
      </c>
      <c r="I616" t="s">
        <v>14</v>
      </c>
    </row>
    <row r="617" spans="1:9" x14ac:dyDescent="0.2">
      <c r="A617">
        <v>320193</v>
      </c>
      <c r="B617" t="s">
        <v>99</v>
      </c>
      <c r="C617" t="s">
        <v>17</v>
      </c>
      <c r="D617" t="s">
        <v>18</v>
      </c>
      <c r="E617" t="s">
        <v>12</v>
      </c>
      <c r="F617">
        <v>152836000000</v>
      </c>
      <c r="G617" s="1">
        <v>44465</v>
      </c>
      <c r="H617" t="s">
        <v>13</v>
      </c>
      <c r="I617" t="s">
        <v>14</v>
      </c>
    </row>
    <row r="618" spans="1:9" x14ac:dyDescent="0.2">
      <c r="A618">
        <v>320193</v>
      </c>
      <c r="B618" t="s">
        <v>101</v>
      </c>
      <c r="C618" t="s">
        <v>17</v>
      </c>
      <c r="D618" t="s">
        <v>18</v>
      </c>
      <c r="E618" t="s">
        <v>12</v>
      </c>
      <c r="F618">
        <v>152836000000</v>
      </c>
      <c r="G618" s="1">
        <v>44465</v>
      </c>
      <c r="H618" t="s">
        <v>13</v>
      </c>
      <c r="I618" t="s">
        <v>14</v>
      </c>
    </row>
    <row r="619" spans="1:9" x14ac:dyDescent="0.2">
      <c r="A619">
        <v>320193</v>
      </c>
      <c r="B619" t="s">
        <v>97</v>
      </c>
      <c r="C619" t="s">
        <v>17</v>
      </c>
      <c r="D619" t="s">
        <v>18</v>
      </c>
      <c r="E619" t="s">
        <v>12</v>
      </c>
      <c r="F619">
        <v>170782000000</v>
      </c>
      <c r="G619" s="1">
        <v>44829</v>
      </c>
      <c r="H619" t="s">
        <v>13</v>
      </c>
      <c r="I619" t="s">
        <v>14</v>
      </c>
    </row>
    <row r="620" spans="1:9" x14ac:dyDescent="0.2">
      <c r="A620">
        <v>320193</v>
      </c>
      <c r="B620" t="s">
        <v>98</v>
      </c>
      <c r="C620" t="s">
        <v>17</v>
      </c>
      <c r="D620" t="s">
        <v>18</v>
      </c>
      <c r="E620" t="s">
        <v>12</v>
      </c>
      <c r="F620">
        <v>170782000000</v>
      </c>
      <c r="G620" s="1">
        <v>44829</v>
      </c>
      <c r="H620" t="s">
        <v>13</v>
      </c>
      <c r="I620" t="s">
        <v>14</v>
      </c>
    </row>
    <row r="621" spans="1:9" x14ac:dyDescent="0.2">
      <c r="A621">
        <v>320193</v>
      </c>
      <c r="B621" t="s">
        <v>101</v>
      </c>
      <c r="C621" t="s">
        <v>17</v>
      </c>
      <c r="D621" t="s">
        <v>18</v>
      </c>
      <c r="E621" t="s">
        <v>12</v>
      </c>
      <c r="F621">
        <v>170782000000</v>
      </c>
      <c r="G621" s="1">
        <v>44829</v>
      </c>
      <c r="H621" t="s">
        <v>13</v>
      </c>
      <c r="I621" t="s">
        <v>14</v>
      </c>
    </row>
    <row r="622" spans="1:9" x14ac:dyDescent="0.2">
      <c r="A622">
        <v>320193</v>
      </c>
      <c r="B622" t="s">
        <v>88</v>
      </c>
      <c r="C622" t="s">
        <v>17</v>
      </c>
      <c r="D622" t="s">
        <v>18</v>
      </c>
      <c r="E622" t="s">
        <v>12</v>
      </c>
      <c r="F622">
        <v>169148000000</v>
      </c>
      <c r="G622" s="1">
        <v>45200</v>
      </c>
      <c r="H622" t="s">
        <v>13</v>
      </c>
      <c r="I622" t="s">
        <v>14</v>
      </c>
    </row>
    <row r="623" spans="1:9" x14ac:dyDescent="0.2">
      <c r="A623">
        <v>320193</v>
      </c>
      <c r="B623" t="s">
        <v>98</v>
      </c>
      <c r="C623" t="s">
        <v>17</v>
      </c>
      <c r="D623" t="s">
        <v>18</v>
      </c>
      <c r="E623" t="s">
        <v>12</v>
      </c>
      <c r="F623">
        <v>169148000000</v>
      </c>
      <c r="G623" s="1">
        <v>45200</v>
      </c>
      <c r="H623" t="s">
        <v>13</v>
      </c>
      <c r="I623" t="s">
        <v>14</v>
      </c>
    </row>
    <row r="624" spans="1:9" x14ac:dyDescent="0.2">
      <c r="A624">
        <v>320193</v>
      </c>
      <c r="B624" t="s">
        <v>101</v>
      </c>
      <c r="C624" t="s">
        <v>17</v>
      </c>
      <c r="D624" t="s">
        <v>18</v>
      </c>
      <c r="E624" t="s">
        <v>12</v>
      </c>
      <c r="F624">
        <v>169148000000</v>
      </c>
      <c r="G624" s="1">
        <v>45200</v>
      </c>
      <c r="H624" t="s">
        <v>13</v>
      </c>
      <c r="I624" t="s">
        <v>14</v>
      </c>
    </row>
    <row r="625" spans="1:9" x14ac:dyDescent="0.2">
      <c r="A625">
        <v>320193</v>
      </c>
      <c r="B625" t="s">
        <v>88</v>
      </c>
      <c r="C625" t="s">
        <v>17</v>
      </c>
      <c r="D625" t="s">
        <v>18</v>
      </c>
      <c r="E625" t="s">
        <v>12</v>
      </c>
      <c r="F625">
        <v>180683000000</v>
      </c>
      <c r="G625" s="1">
        <v>45564</v>
      </c>
      <c r="H625" t="s">
        <v>13</v>
      </c>
      <c r="I625" t="s">
        <v>14</v>
      </c>
    </row>
    <row r="626" spans="1:9" x14ac:dyDescent="0.2">
      <c r="A626">
        <v>320193</v>
      </c>
      <c r="B626" t="s">
        <v>98</v>
      </c>
      <c r="C626" t="s">
        <v>17</v>
      </c>
      <c r="D626" t="s">
        <v>18</v>
      </c>
      <c r="E626" t="s">
        <v>12</v>
      </c>
      <c r="F626">
        <v>180683000000</v>
      </c>
      <c r="G626" s="1">
        <v>45564</v>
      </c>
      <c r="H626" t="s">
        <v>13</v>
      </c>
      <c r="I626" t="s">
        <v>14</v>
      </c>
    </row>
    <row r="627" spans="1:9" x14ac:dyDescent="0.2">
      <c r="A627">
        <v>320193</v>
      </c>
      <c r="B627" t="s">
        <v>88</v>
      </c>
      <c r="C627" t="s">
        <v>17</v>
      </c>
      <c r="D627" t="s">
        <v>18</v>
      </c>
      <c r="E627" t="s">
        <v>12</v>
      </c>
      <c r="F627">
        <v>195201000000</v>
      </c>
      <c r="G627" s="1">
        <v>45928</v>
      </c>
      <c r="H627" t="s">
        <v>13</v>
      </c>
      <c r="I627" t="s">
        <v>14</v>
      </c>
    </row>
    <row r="628" spans="1:9" x14ac:dyDescent="0.2">
      <c r="A628">
        <v>320193</v>
      </c>
      <c r="B628" t="s">
        <v>9</v>
      </c>
      <c r="C628" t="s">
        <v>43</v>
      </c>
      <c r="D628" t="s">
        <v>44</v>
      </c>
      <c r="E628" t="s">
        <v>12</v>
      </c>
      <c r="F628">
        <v>3956000000</v>
      </c>
      <c r="G628" s="1">
        <v>43373</v>
      </c>
      <c r="H628" t="s">
        <v>13</v>
      </c>
      <c r="I628" t="s">
        <v>14</v>
      </c>
    </row>
    <row r="629" spans="1:9" x14ac:dyDescent="0.2">
      <c r="A629">
        <v>320193</v>
      </c>
      <c r="B629" t="s">
        <v>9</v>
      </c>
      <c r="C629" t="s">
        <v>43</v>
      </c>
      <c r="D629" t="s">
        <v>44</v>
      </c>
      <c r="E629" t="s">
        <v>12</v>
      </c>
      <c r="F629">
        <v>4106000000</v>
      </c>
      <c r="G629" s="1">
        <v>43737</v>
      </c>
      <c r="H629" t="s">
        <v>13</v>
      </c>
      <c r="I629" t="s">
        <v>14</v>
      </c>
    </row>
    <row r="630" spans="1:9" x14ac:dyDescent="0.2">
      <c r="A630">
        <v>320193</v>
      </c>
      <c r="B630" t="s">
        <v>100</v>
      </c>
      <c r="C630" t="s">
        <v>43</v>
      </c>
      <c r="D630" t="s">
        <v>44</v>
      </c>
      <c r="E630" t="s">
        <v>12</v>
      </c>
      <c r="F630">
        <v>4106000000</v>
      </c>
      <c r="G630" s="1">
        <v>43737</v>
      </c>
      <c r="H630" t="s">
        <v>13</v>
      </c>
      <c r="I630" t="s">
        <v>14</v>
      </c>
    </row>
    <row r="631" spans="1:9" x14ac:dyDescent="0.2">
      <c r="A631">
        <v>320193</v>
      </c>
      <c r="B631" t="s">
        <v>99</v>
      </c>
      <c r="C631" t="s">
        <v>43</v>
      </c>
      <c r="D631" t="s">
        <v>44</v>
      </c>
      <c r="E631" t="s">
        <v>12</v>
      </c>
      <c r="F631">
        <v>4061000000</v>
      </c>
      <c r="G631" s="1">
        <v>44101</v>
      </c>
      <c r="H631" t="s">
        <v>13</v>
      </c>
      <c r="I631" t="s">
        <v>14</v>
      </c>
    </row>
    <row r="632" spans="1:9" x14ac:dyDescent="0.2">
      <c r="A632">
        <v>320193</v>
      </c>
      <c r="B632" t="s">
        <v>100</v>
      </c>
      <c r="C632" t="s">
        <v>43</v>
      </c>
      <c r="D632" t="s">
        <v>44</v>
      </c>
      <c r="E632" t="s">
        <v>12</v>
      </c>
      <c r="F632">
        <v>4061000000</v>
      </c>
      <c r="G632" s="1">
        <v>44101</v>
      </c>
      <c r="H632" t="s">
        <v>13</v>
      </c>
      <c r="I632" t="s">
        <v>14</v>
      </c>
    </row>
    <row r="633" spans="1:9" x14ac:dyDescent="0.2">
      <c r="A633">
        <v>320193</v>
      </c>
      <c r="B633" t="s">
        <v>97</v>
      </c>
      <c r="C633" t="s">
        <v>43</v>
      </c>
      <c r="D633" t="s">
        <v>44</v>
      </c>
      <c r="E633" t="s">
        <v>12</v>
      </c>
      <c r="F633">
        <v>6580000000</v>
      </c>
      <c r="G633" s="1">
        <v>44465</v>
      </c>
      <c r="H633" t="s">
        <v>13</v>
      </c>
      <c r="I633" t="s">
        <v>14</v>
      </c>
    </row>
    <row r="634" spans="1:9" x14ac:dyDescent="0.2">
      <c r="A634">
        <v>320193</v>
      </c>
      <c r="B634" t="s">
        <v>99</v>
      </c>
      <c r="C634" t="s">
        <v>43</v>
      </c>
      <c r="D634" t="s">
        <v>44</v>
      </c>
      <c r="E634" t="s">
        <v>12</v>
      </c>
      <c r="F634">
        <v>6580000000</v>
      </c>
      <c r="G634" s="1">
        <v>44465</v>
      </c>
      <c r="H634" t="s">
        <v>13</v>
      </c>
      <c r="I634" t="s">
        <v>14</v>
      </c>
    </row>
    <row r="635" spans="1:9" x14ac:dyDescent="0.2">
      <c r="A635">
        <v>320193</v>
      </c>
      <c r="B635" t="s">
        <v>97</v>
      </c>
      <c r="C635" t="s">
        <v>43</v>
      </c>
      <c r="D635" t="s">
        <v>44</v>
      </c>
      <c r="E635" t="s">
        <v>12</v>
      </c>
      <c r="F635">
        <v>4946000000</v>
      </c>
      <c r="G635" s="1">
        <v>44829</v>
      </c>
      <c r="H635" t="s">
        <v>13</v>
      </c>
      <c r="I635" t="s">
        <v>14</v>
      </c>
    </row>
    <row r="636" spans="1:9" x14ac:dyDescent="0.2">
      <c r="A636">
        <v>320193</v>
      </c>
      <c r="B636" t="s">
        <v>101</v>
      </c>
      <c r="C636" t="s">
        <v>43</v>
      </c>
      <c r="D636" t="s">
        <v>44</v>
      </c>
      <c r="E636" t="s">
        <v>12</v>
      </c>
      <c r="F636">
        <v>4946000000</v>
      </c>
      <c r="G636" s="1">
        <v>44829</v>
      </c>
      <c r="H636" t="s">
        <v>13</v>
      </c>
      <c r="I636" t="s">
        <v>14</v>
      </c>
    </row>
    <row r="637" spans="1:9" x14ac:dyDescent="0.2">
      <c r="A637">
        <v>320193</v>
      </c>
      <c r="B637" t="s">
        <v>98</v>
      </c>
      <c r="C637" t="s">
        <v>43</v>
      </c>
      <c r="D637" t="s">
        <v>44</v>
      </c>
      <c r="E637" t="s">
        <v>12</v>
      </c>
      <c r="F637">
        <v>6331000000</v>
      </c>
      <c r="G637" s="1">
        <v>45200</v>
      </c>
      <c r="H637" t="s">
        <v>13</v>
      </c>
      <c r="I637" t="s">
        <v>14</v>
      </c>
    </row>
    <row r="638" spans="1:9" x14ac:dyDescent="0.2">
      <c r="A638">
        <v>320193</v>
      </c>
      <c r="B638" t="s">
        <v>101</v>
      </c>
      <c r="C638" t="s">
        <v>43</v>
      </c>
      <c r="D638" t="s">
        <v>44</v>
      </c>
      <c r="E638" t="s">
        <v>12</v>
      </c>
      <c r="F638">
        <v>6331000000</v>
      </c>
      <c r="G638" s="1">
        <v>45200</v>
      </c>
      <c r="H638" t="s">
        <v>13</v>
      </c>
      <c r="I638" t="s">
        <v>14</v>
      </c>
    </row>
    <row r="639" spans="1:9" x14ac:dyDescent="0.2">
      <c r="A639">
        <v>320193</v>
      </c>
      <c r="B639" t="s">
        <v>88</v>
      </c>
      <c r="C639" t="s">
        <v>43</v>
      </c>
      <c r="D639" t="s">
        <v>44</v>
      </c>
      <c r="E639" t="s">
        <v>12</v>
      </c>
      <c r="F639">
        <v>7286000000</v>
      </c>
      <c r="G639" s="1">
        <v>45564</v>
      </c>
      <c r="H639" t="s">
        <v>13</v>
      </c>
      <c r="I639" t="s">
        <v>14</v>
      </c>
    </row>
    <row r="640" spans="1:9" x14ac:dyDescent="0.2">
      <c r="A640">
        <v>320193</v>
      </c>
      <c r="B640" t="s">
        <v>98</v>
      </c>
      <c r="C640" t="s">
        <v>43</v>
      </c>
      <c r="D640" t="s">
        <v>44</v>
      </c>
      <c r="E640" t="s">
        <v>12</v>
      </c>
      <c r="F640">
        <v>7286000000</v>
      </c>
      <c r="G640" s="1">
        <v>45564</v>
      </c>
      <c r="H640" t="s">
        <v>13</v>
      </c>
      <c r="I640" t="s">
        <v>14</v>
      </c>
    </row>
    <row r="641" spans="1:9" x14ac:dyDescent="0.2">
      <c r="A641">
        <v>320193</v>
      </c>
      <c r="B641" t="s">
        <v>88</v>
      </c>
      <c r="C641" t="s">
        <v>43</v>
      </c>
      <c r="D641" t="s">
        <v>44</v>
      </c>
      <c r="E641" t="s">
        <v>12</v>
      </c>
      <c r="F641">
        <v>5718000000</v>
      </c>
      <c r="G641" s="1">
        <v>45928</v>
      </c>
      <c r="H641" t="s">
        <v>13</v>
      </c>
      <c r="I641" t="s">
        <v>14</v>
      </c>
    </row>
    <row r="642" spans="1:9" x14ac:dyDescent="0.2">
      <c r="A642">
        <v>320193</v>
      </c>
      <c r="B642" t="s">
        <v>9</v>
      </c>
      <c r="C642" t="s">
        <v>76</v>
      </c>
      <c r="D642" t="s">
        <v>77</v>
      </c>
      <c r="E642" t="s">
        <v>12</v>
      </c>
      <c r="F642">
        <v>-46446000000</v>
      </c>
      <c r="G642" s="1">
        <v>43009</v>
      </c>
      <c r="H642" t="s">
        <v>13</v>
      </c>
      <c r="I642" t="s">
        <v>14</v>
      </c>
    </row>
    <row r="643" spans="1:9" x14ac:dyDescent="0.2">
      <c r="A643">
        <v>320193</v>
      </c>
      <c r="B643" t="s">
        <v>9</v>
      </c>
      <c r="C643" t="s">
        <v>76</v>
      </c>
      <c r="D643" t="s">
        <v>77</v>
      </c>
      <c r="E643" t="s">
        <v>12</v>
      </c>
      <c r="F643">
        <v>16066000000</v>
      </c>
      <c r="G643" s="1">
        <v>43373</v>
      </c>
      <c r="H643" t="s">
        <v>13</v>
      </c>
      <c r="I643" t="s">
        <v>14</v>
      </c>
    </row>
    <row r="644" spans="1:9" x14ac:dyDescent="0.2">
      <c r="A644">
        <v>320193</v>
      </c>
      <c r="B644" t="s">
        <v>100</v>
      </c>
      <c r="C644" t="s">
        <v>76</v>
      </c>
      <c r="D644" t="s">
        <v>77</v>
      </c>
      <c r="E644" t="s">
        <v>12</v>
      </c>
      <c r="F644">
        <v>16066000000</v>
      </c>
      <c r="G644" s="1">
        <v>43373</v>
      </c>
      <c r="H644" t="s">
        <v>13</v>
      </c>
      <c r="I644" t="s">
        <v>14</v>
      </c>
    </row>
    <row r="645" spans="1:9" x14ac:dyDescent="0.2">
      <c r="A645">
        <v>320193</v>
      </c>
      <c r="B645" t="s">
        <v>9</v>
      </c>
      <c r="C645" t="s">
        <v>76</v>
      </c>
      <c r="D645" t="s">
        <v>77</v>
      </c>
      <c r="E645" t="s">
        <v>12</v>
      </c>
      <c r="F645">
        <v>45896000000</v>
      </c>
      <c r="G645" s="1">
        <v>43737</v>
      </c>
      <c r="H645" t="s">
        <v>13</v>
      </c>
      <c r="I645" t="s">
        <v>14</v>
      </c>
    </row>
    <row r="646" spans="1:9" x14ac:dyDescent="0.2">
      <c r="A646">
        <v>320193</v>
      </c>
      <c r="B646" t="s">
        <v>99</v>
      </c>
      <c r="C646" t="s">
        <v>76</v>
      </c>
      <c r="D646" t="s">
        <v>77</v>
      </c>
      <c r="E646" t="s">
        <v>12</v>
      </c>
      <c r="F646">
        <v>45896000000</v>
      </c>
      <c r="G646" s="1">
        <v>43737</v>
      </c>
      <c r="H646" t="s">
        <v>13</v>
      </c>
      <c r="I646" t="s">
        <v>14</v>
      </c>
    </row>
    <row r="647" spans="1:9" x14ac:dyDescent="0.2">
      <c r="A647">
        <v>320193</v>
      </c>
      <c r="B647" t="s">
        <v>100</v>
      </c>
      <c r="C647" t="s">
        <v>76</v>
      </c>
      <c r="D647" t="s">
        <v>77</v>
      </c>
      <c r="E647" t="s">
        <v>12</v>
      </c>
      <c r="F647">
        <v>45896000000</v>
      </c>
      <c r="G647" s="1">
        <v>43737</v>
      </c>
      <c r="H647" t="s">
        <v>13</v>
      </c>
      <c r="I647" t="s">
        <v>14</v>
      </c>
    </row>
    <row r="648" spans="1:9" x14ac:dyDescent="0.2">
      <c r="A648">
        <v>320193</v>
      </c>
      <c r="B648" t="s">
        <v>97</v>
      </c>
      <c r="C648" t="s">
        <v>76</v>
      </c>
      <c r="D648" t="s">
        <v>77</v>
      </c>
      <c r="E648" t="s">
        <v>12</v>
      </c>
      <c r="F648">
        <v>-4289000000</v>
      </c>
      <c r="G648" s="1">
        <v>44101</v>
      </c>
      <c r="H648" t="s">
        <v>13</v>
      </c>
      <c r="I648" t="s">
        <v>14</v>
      </c>
    </row>
    <row r="649" spans="1:9" x14ac:dyDescent="0.2">
      <c r="A649">
        <v>320193</v>
      </c>
      <c r="B649" t="s">
        <v>99</v>
      </c>
      <c r="C649" t="s">
        <v>76</v>
      </c>
      <c r="D649" t="s">
        <v>77</v>
      </c>
      <c r="E649" t="s">
        <v>12</v>
      </c>
      <c r="F649">
        <v>-4289000000</v>
      </c>
      <c r="G649" s="1">
        <v>44101</v>
      </c>
      <c r="H649" t="s">
        <v>13</v>
      </c>
      <c r="I649" t="s">
        <v>14</v>
      </c>
    </row>
    <row r="650" spans="1:9" x14ac:dyDescent="0.2">
      <c r="A650">
        <v>320193</v>
      </c>
      <c r="B650" t="s">
        <v>100</v>
      </c>
      <c r="C650" t="s">
        <v>76</v>
      </c>
      <c r="D650" t="s">
        <v>77</v>
      </c>
      <c r="E650" t="s">
        <v>12</v>
      </c>
      <c r="F650">
        <v>-4289000000</v>
      </c>
      <c r="G650" s="1">
        <v>44101</v>
      </c>
      <c r="H650" t="s">
        <v>13</v>
      </c>
      <c r="I650" t="s">
        <v>14</v>
      </c>
    </row>
    <row r="651" spans="1:9" x14ac:dyDescent="0.2">
      <c r="A651">
        <v>320193</v>
      </c>
      <c r="B651" t="s">
        <v>97</v>
      </c>
      <c r="C651" t="s">
        <v>76</v>
      </c>
      <c r="D651" t="s">
        <v>77</v>
      </c>
      <c r="E651" t="s">
        <v>12</v>
      </c>
      <c r="F651">
        <v>-14545000000</v>
      </c>
      <c r="G651" s="1">
        <v>44465</v>
      </c>
      <c r="H651" t="s">
        <v>13</v>
      </c>
      <c r="I651" t="s">
        <v>14</v>
      </c>
    </row>
    <row r="652" spans="1:9" x14ac:dyDescent="0.2">
      <c r="A652">
        <v>320193</v>
      </c>
      <c r="B652" t="s">
        <v>99</v>
      </c>
      <c r="C652" t="s">
        <v>76</v>
      </c>
      <c r="D652" t="s">
        <v>77</v>
      </c>
      <c r="E652" t="s">
        <v>12</v>
      </c>
      <c r="F652">
        <v>-14545000000</v>
      </c>
      <c r="G652" s="1">
        <v>44465</v>
      </c>
      <c r="H652" t="s">
        <v>13</v>
      </c>
      <c r="I652" t="s">
        <v>14</v>
      </c>
    </row>
    <row r="653" spans="1:9" x14ac:dyDescent="0.2">
      <c r="A653">
        <v>320193</v>
      </c>
      <c r="B653" t="s">
        <v>101</v>
      </c>
      <c r="C653" t="s">
        <v>76</v>
      </c>
      <c r="D653" t="s">
        <v>77</v>
      </c>
      <c r="E653" t="s">
        <v>12</v>
      </c>
      <c r="F653">
        <v>-14545000000</v>
      </c>
      <c r="G653" s="1">
        <v>44465</v>
      </c>
      <c r="H653" t="s">
        <v>13</v>
      </c>
      <c r="I653" t="s">
        <v>14</v>
      </c>
    </row>
    <row r="654" spans="1:9" x14ac:dyDescent="0.2">
      <c r="A654">
        <v>320193</v>
      </c>
      <c r="B654" t="s">
        <v>97</v>
      </c>
      <c r="C654" t="s">
        <v>76</v>
      </c>
      <c r="D654" t="s">
        <v>77</v>
      </c>
      <c r="E654" t="s">
        <v>12</v>
      </c>
      <c r="F654">
        <v>-22354000000</v>
      </c>
      <c r="G654" s="1">
        <v>44829</v>
      </c>
      <c r="H654" t="s">
        <v>13</v>
      </c>
      <c r="I654" t="s">
        <v>14</v>
      </c>
    </row>
    <row r="655" spans="1:9" x14ac:dyDescent="0.2">
      <c r="A655">
        <v>320193</v>
      </c>
      <c r="B655" t="s">
        <v>98</v>
      </c>
      <c r="C655" t="s">
        <v>76</v>
      </c>
      <c r="D655" t="s">
        <v>77</v>
      </c>
      <c r="E655" t="s">
        <v>12</v>
      </c>
      <c r="F655">
        <v>-22354000000</v>
      </c>
      <c r="G655" s="1">
        <v>44829</v>
      </c>
      <c r="H655" t="s">
        <v>13</v>
      </c>
      <c r="I655" t="s">
        <v>14</v>
      </c>
    </row>
    <row r="656" spans="1:9" x14ac:dyDescent="0.2">
      <c r="A656">
        <v>320193</v>
      </c>
      <c r="B656" t="s">
        <v>101</v>
      </c>
      <c r="C656" t="s">
        <v>76</v>
      </c>
      <c r="D656" t="s">
        <v>77</v>
      </c>
      <c r="E656" t="s">
        <v>12</v>
      </c>
      <c r="F656">
        <v>-22354000000</v>
      </c>
      <c r="G656" s="1">
        <v>44829</v>
      </c>
      <c r="H656" t="s">
        <v>13</v>
      </c>
      <c r="I656" t="s">
        <v>14</v>
      </c>
    </row>
    <row r="657" spans="1:9" x14ac:dyDescent="0.2">
      <c r="A657">
        <v>320193</v>
      </c>
      <c r="B657" t="s">
        <v>88</v>
      </c>
      <c r="C657" t="s">
        <v>76</v>
      </c>
      <c r="D657" t="s">
        <v>77</v>
      </c>
      <c r="E657" t="s">
        <v>12</v>
      </c>
      <c r="F657">
        <v>3705000000</v>
      </c>
      <c r="G657" s="1">
        <v>45200</v>
      </c>
      <c r="H657" t="s">
        <v>13</v>
      </c>
      <c r="I657" t="s">
        <v>14</v>
      </c>
    </row>
    <row r="658" spans="1:9" x14ac:dyDescent="0.2">
      <c r="A658">
        <v>320193</v>
      </c>
      <c r="B658" t="s">
        <v>98</v>
      </c>
      <c r="C658" t="s">
        <v>76</v>
      </c>
      <c r="D658" t="s">
        <v>77</v>
      </c>
      <c r="E658" t="s">
        <v>12</v>
      </c>
      <c r="F658">
        <v>3705000000</v>
      </c>
      <c r="G658" s="1">
        <v>45200</v>
      </c>
      <c r="H658" t="s">
        <v>13</v>
      </c>
      <c r="I658" t="s">
        <v>14</v>
      </c>
    </row>
    <row r="659" spans="1:9" x14ac:dyDescent="0.2">
      <c r="A659">
        <v>320193</v>
      </c>
      <c r="B659" t="s">
        <v>101</v>
      </c>
      <c r="C659" t="s">
        <v>76</v>
      </c>
      <c r="D659" t="s">
        <v>77</v>
      </c>
      <c r="E659" t="s">
        <v>12</v>
      </c>
      <c r="F659">
        <v>3705000000</v>
      </c>
      <c r="G659" s="1">
        <v>45200</v>
      </c>
      <c r="H659" t="s">
        <v>13</v>
      </c>
      <c r="I659" t="s">
        <v>14</v>
      </c>
    </row>
    <row r="660" spans="1:9" x14ac:dyDescent="0.2">
      <c r="A660">
        <v>320193</v>
      </c>
      <c r="B660" t="s">
        <v>88</v>
      </c>
      <c r="C660" t="s">
        <v>76</v>
      </c>
      <c r="D660" t="s">
        <v>77</v>
      </c>
      <c r="E660" t="s">
        <v>12</v>
      </c>
      <c r="F660">
        <v>2935000000</v>
      </c>
      <c r="G660" s="1">
        <v>45564</v>
      </c>
      <c r="H660" t="s">
        <v>13</v>
      </c>
      <c r="I660" t="s">
        <v>14</v>
      </c>
    </row>
    <row r="661" spans="1:9" x14ac:dyDescent="0.2">
      <c r="A661">
        <v>320193</v>
      </c>
      <c r="B661" t="s">
        <v>98</v>
      </c>
      <c r="C661" t="s">
        <v>76</v>
      </c>
      <c r="D661" t="s">
        <v>77</v>
      </c>
      <c r="E661" t="s">
        <v>12</v>
      </c>
      <c r="F661">
        <v>2935000000</v>
      </c>
      <c r="G661" s="1">
        <v>45564</v>
      </c>
      <c r="H661" t="s">
        <v>13</v>
      </c>
      <c r="I661" t="s">
        <v>14</v>
      </c>
    </row>
    <row r="662" spans="1:9" x14ac:dyDescent="0.2">
      <c r="A662">
        <v>320193</v>
      </c>
      <c r="B662" t="s">
        <v>88</v>
      </c>
      <c r="C662" t="s">
        <v>76</v>
      </c>
      <c r="D662" t="s">
        <v>77</v>
      </c>
      <c r="E662" t="s">
        <v>12</v>
      </c>
      <c r="F662">
        <v>15195000000</v>
      </c>
      <c r="G662" s="1">
        <v>45928</v>
      </c>
      <c r="H662" t="s">
        <v>13</v>
      </c>
      <c r="I662" t="s">
        <v>14</v>
      </c>
    </row>
    <row r="663" spans="1:9" x14ac:dyDescent="0.2">
      <c r="A663">
        <v>320193</v>
      </c>
      <c r="B663" t="s">
        <v>101</v>
      </c>
      <c r="C663" t="s">
        <v>95</v>
      </c>
      <c r="D663" t="s">
        <v>96</v>
      </c>
      <c r="E663" t="s">
        <v>12</v>
      </c>
      <c r="F663">
        <v>110087000000</v>
      </c>
      <c r="G663" s="1">
        <v>44829</v>
      </c>
      <c r="H663" t="s">
        <v>13</v>
      </c>
      <c r="I663" t="s">
        <v>14</v>
      </c>
    </row>
    <row r="664" spans="1:9" x14ac:dyDescent="0.2">
      <c r="A664">
        <v>320193</v>
      </c>
      <c r="B664" t="s">
        <v>98</v>
      </c>
      <c r="C664" t="s">
        <v>95</v>
      </c>
      <c r="D664" t="s">
        <v>96</v>
      </c>
      <c r="E664" t="s">
        <v>12</v>
      </c>
      <c r="F664">
        <v>105103000000</v>
      </c>
      <c r="G664" s="1">
        <v>45200</v>
      </c>
      <c r="H664" t="s">
        <v>13</v>
      </c>
      <c r="I664" t="s">
        <v>14</v>
      </c>
    </row>
    <row r="665" spans="1:9" x14ac:dyDescent="0.2">
      <c r="A665">
        <v>320193</v>
      </c>
      <c r="B665" t="s">
        <v>101</v>
      </c>
      <c r="C665" t="s">
        <v>95</v>
      </c>
      <c r="D665" t="s">
        <v>96</v>
      </c>
      <c r="E665" t="s">
        <v>12</v>
      </c>
      <c r="F665">
        <v>105103000000</v>
      </c>
      <c r="G665" s="1">
        <v>45200</v>
      </c>
      <c r="H665" t="s">
        <v>13</v>
      </c>
      <c r="I665" t="s">
        <v>14</v>
      </c>
    </row>
    <row r="666" spans="1:9" x14ac:dyDescent="0.2">
      <c r="A666">
        <v>320193</v>
      </c>
      <c r="B666" t="s">
        <v>88</v>
      </c>
      <c r="C666" t="s">
        <v>95</v>
      </c>
      <c r="D666" t="s">
        <v>96</v>
      </c>
      <c r="E666" t="s">
        <v>12</v>
      </c>
      <c r="F666">
        <v>96662000000</v>
      </c>
      <c r="G666" s="1">
        <v>45564</v>
      </c>
      <c r="H666" t="s">
        <v>13</v>
      </c>
      <c r="I666" t="s">
        <v>14</v>
      </c>
    </row>
    <row r="667" spans="1:9" x14ac:dyDescent="0.2">
      <c r="A667">
        <v>320193</v>
      </c>
      <c r="B667" t="s">
        <v>98</v>
      </c>
      <c r="C667" t="s">
        <v>95</v>
      </c>
      <c r="D667" t="s">
        <v>96</v>
      </c>
      <c r="E667" t="s">
        <v>12</v>
      </c>
      <c r="F667">
        <v>96662000000</v>
      </c>
      <c r="G667" s="1">
        <v>45564</v>
      </c>
      <c r="H667" t="s">
        <v>13</v>
      </c>
      <c r="I667" t="s">
        <v>14</v>
      </c>
    </row>
    <row r="668" spans="1:9" x14ac:dyDescent="0.2">
      <c r="A668">
        <v>320193</v>
      </c>
      <c r="B668" t="s">
        <v>88</v>
      </c>
      <c r="C668" t="s">
        <v>95</v>
      </c>
      <c r="D668" t="s">
        <v>96</v>
      </c>
      <c r="E668" t="s">
        <v>12</v>
      </c>
      <c r="F668">
        <v>90678000000</v>
      </c>
      <c r="G668" s="1">
        <v>45928</v>
      </c>
      <c r="H668" t="s">
        <v>13</v>
      </c>
      <c r="I668" t="s">
        <v>14</v>
      </c>
    </row>
    <row r="669" spans="1:9" x14ac:dyDescent="0.2">
      <c r="A669">
        <v>320193</v>
      </c>
      <c r="B669" t="s">
        <v>9</v>
      </c>
      <c r="C669" t="s">
        <v>82</v>
      </c>
      <c r="D669" t="s">
        <v>83</v>
      </c>
      <c r="E669" t="s">
        <v>12</v>
      </c>
      <c r="F669">
        <v>28662000000</v>
      </c>
      <c r="G669" s="1">
        <v>43009</v>
      </c>
      <c r="H669" t="s">
        <v>13</v>
      </c>
      <c r="I669" t="s">
        <v>14</v>
      </c>
    </row>
    <row r="670" spans="1:9" x14ac:dyDescent="0.2">
      <c r="A670">
        <v>320193</v>
      </c>
      <c r="B670" t="s">
        <v>9</v>
      </c>
      <c r="C670" t="s">
        <v>82</v>
      </c>
      <c r="D670" t="s">
        <v>83</v>
      </c>
      <c r="E670" t="s">
        <v>12</v>
      </c>
      <c r="F670">
        <v>6969000000</v>
      </c>
      <c r="G670" s="1">
        <v>43373</v>
      </c>
      <c r="H670" t="s">
        <v>13</v>
      </c>
      <c r="I670" t="s">
        <v>14</v>
      </c>
    </row>
    <row r="671" spans="1:9" x14ac:dyDescent="0.2">
      <c r="A671">
        <v>320193</v>
      </c>
      <c r="B671" t="s">
        <v>100</v>
      </c>
      <c r="C671" t="s">
        <v>82</v>
      </c>
      <c r="D671" t="s">
        <v>83</v>
      </c>
      <c r="E671" t="s">
        <v>12</v>
      </c>
      <c r="F671">
        <v>6969000000</v>
      </c>
      <c r="G671" s="1">
        <v>43373</v>
      </c>
      <c r="H671" t="s">
        <v>13</v>
      </c>
      <c r="I671" t="s">
        <v>14</v>
      </c>
    </row>
    <row r="672" spans="1:9" x14ac:dyDescent="0.2">
      <c r="A672">
        <v>320193</v>
      </c>
      <c r="B672" t="s">
        <v>9</v>
      </c>
      <c r="C672" t="s">
        <v>82</v>
      </c>
      <c r="D672" t="s">
        <v>83</v>
      </c>
      <c r="E672" t="s">
        <v>12</v>
      </c>
      <c r="F672">
        <v>6963000000</v>
      </c>
      <c r="G672" s="1">
        <v>43737</v>
      </c>
      <c r="H672" t="s">
        <v>13</v>
      </c>
      <c r="I672" t="s">
        <v>14</v>
      </c>
    </row>
    <row r="673" spans="1:9" x14ac:dyDescent="0.2">
      <c r="A673">
        <v>320193</v>
      </c>
      <c r="B673" t="s">
        <v>99</v>
      </c>
      <c r="C673" t="s">
        <v>82</v>
      </c>
      <c r="D673" t="s">
        <v>83</v>
      </c>
      <c r="E673" t="s">
        <v>12</v>
      </c>
      <c r="F673">
        <v>6963000000</v>
      </c>
      <c r="G673" s="1">
        <v>43737</v>
      </c>
      <c r="H673" t="s">
        <v>13</v>
      </c>
      <c r="I673" t="s">
        <v>14</v>
      </c>
    </row>
    <row r="674" spans="1:9" x14ac:dyDescent="0.2">
      <c r="A674">
        <v>320193</v>
      </c>
      <c r="B674" t="s">
        <v>100</v>
      </c>
      <c r="C674" t="s">
        <v>82</v>
      </c>
      <c r="D674" t="s">
        <v>83</v>
      </c>
      <c r="E674" t="s">
        <v>12</v>
      </c>
      <c r="F674">
        <v>6963000000</v>
      </c>
      <c r="G674" s="1">
        <v>43737</v>
      </c>
      <c r="H674" t="s">
        <v>13</v>
      </c>
      <c r="I674" t="s">
        <v>14</v>
      </c>
    </row>
    <row r="675" spans="1:9" x14ac:dyDescent="0.2">
      <c r="A675">
        <v>320193</v>
      </c>
      <c r="B675" t="s">
        <v>97</v>
      </c>
      <c r="C675" t="s">
        <v>82</v>
      </c>
      <c r="D675" t="s">
        <v>83</v>
      </c>
      <c r="E675" t="s">
        <v>12</v>
      </c>
      <c r="F675">
        <v>16091000000</v>
      </c>
      <c r="G675" s="1">
        <v>44101</v>
      </c>
      <c r="H675" t="s">
        <v>13</v>
      </c>
      <c r="I675" t="s">
        <v>14</v>
      </c>
    </row>
    <row r="676" spans="1:9" x14ac:dyDescent="0.2">
      <c r="A676">
        <v>320193</v>
      </c>
      <c r="B676" t="s">
        <v>99</v>
      </c>
      <c r="C676" t="s">
        <v>82</v>
      </c>
      <c r="D676" t="s">
        <v>83</v>
      </c>
      <c r="E676" t="s">
        <v>12</v>
      </c>
      <c r="F676">
        <v>16091000000</v>
      </c>
      <c r="G676" s="1">
        <v>44101</v>
      </c>
      <c r="H676" t="s">
        <v>13</v>
      </c>
      <c r="I676" t="s">
        <v>14</v>
      </c>
    </row>
    <row r="677" spans="1:9" x14ac:dyDescent="0.2">
      <c r="A677">
        <v>320193</v>
      </c>
      <c r="B677" t="s">
        <v>100</v>
      </c>
      <c r="C677" t="s">
        <v>82</v>
      </c>
      <c r="D677" t="s">
        <v>83</v>
      </c>
      <c r="E677" t="s">
        <v>12</v>
      </c>
      <c r="F677">
        <v>16091000000</v>
      </c>
      <c r="G677" s="1">
        <v>44101</v>
      </c>
      <c r="H677" t="s">
        <v>13</v>
      </c>
      <c r="I677" t="s">
        <v>14</v>
      </c>
    </row>
    <row r="678" spans="1:9" x14ac:dyDescent="0.2">
      <c r="A678">
        <v>320193</v>
      </c>
      <c r="B678" t="s">
        <v>97</v>
      </c>
      <c r="C678" t="s">
        <v>82</v>
      </c>
      <c r="D678" t="s">
        <v>83</v>
      </c>
      <c r="E678" t="s">
        <v>12</v>
      </c>
      <c r="F678">
        <v>20393000000</v>
      </c>
      <c r="G678" s="1">
        <v>44465</v>
      </c>
      <c r="H678" t="s">
        <v>13</v>
      </c>
      <c r="I678" t="s">
        <v>14</v>
      </c>
    </row>
    <row r="679" spans="1:9" x14ac:dyDescent="0.2">
      <c r="A679">
        <v>320193</v>
      </c>
      <c r="B679" t="s">
        <v>99</v>
      </c>
      <c r="C679" t="s">
        <v>82</v>
      </c>
      <c r="D679" t="s">
        <v>83</v>
      </c>
      <c r="E679" t="s">
        <v>12</v>
      </c>
      <c r="F679">
        <v>20393000000</v>
      </c>
      <c r="G679" s="1">
        <v>44465</v>
      </c>
      <c r="H679" t="s">
        <v>13</v>
      </c>
      <c r="I679" t="s">
        <v>14</v>
      </c>
    </row>
    <row r="680" spans="1:9" x14ac:dyDescent="0.2">
      <c r="A680">
        <v>320193</v>
      </c>
      <c r="B680" t="s">
        <v>101</v>
      </c>
      <c r="C680" t="s">
        <v>82</v>
      </c>
      <c r="D680" t="s">
        <v>83</v>
      </c>
      <c r="E680" t="s">
        <v>12</v>
      </c>
      <c r="F680">
        <v>20393000000</v>
      </c>
      <c r="G680" s="1">
        <v>44465</v>
      </c>
      <c r="H680" t="s">
        <v>13</v>
      </c>
      <c r="I680" t="s">
        <v>14</v>
      </c>
    </row>
    <row r="681" spans="1:9" x14ac:dyDescent="0.2">
      <c r="A681">
        <v>320193</v>
      </c>
      <c r="B681" t="s">
        <v>97</v>
      </c>
      <c r="C681" t="s">
        <v>82</v>
      </c>
      <c r="D681" t="s">
        <v>83</v>
      </c>
      <c r="E681" t="s">
        <v>12</v>
      </c>
      <c r="F681">
        <v>5465000000</v>
      </c>
      <c r="G681" s="1">
        <v>44829</v>
      </c>
      <c r="H681" t="s">
        <v>13</v>
      </c>
      <c r="I681" t="s">
        <v>14</v>
      </c>
    </row>
    <row r="682" spans="1:9" x14ac:dyDescent="0.2">
      <c r="A682">
        <v>320193</v>
      </c>
      <c r="B682" t="s">
        <v>98</v>
      </c>
      <c r="C682" t="s">
        <v>82</v>
      </c>
      <c r="D682" t="s">
        <v>83</v>
      </c>
      <c r="E682" t="s">
        <v>12</v>
      </c>
      <c r="F682">
        <v>5465000000</v>
      </c>
      <c r="G682" s="1">
        <v>44829</v>
      </c>
      <c r="H682" t="s">
        <v>13</v>
      </c>
      <c r="I682" t="s">
        <v>14</v>
      </c>
    </row>
    <row r="683" spans="1:9" x14ac:dyDescent="0.2">
      <c r="A683">
        <v>320193</v>
      </c>
      <c r="B683" t="s">
        <v>101</v>
      </c>
      <c r="C683" t="s">
        <v>82</v>
      </c>
      <c r="D683" t="s">
        <v>83</v>
      </c>
      <c r="E683" t="s">
        <v>12</v>
      </c>
      <c r="F683">
        <v>5465000000</v>
      </c>
      <c r="G683" s="1">
        <v>44829</v>
      </c>
      <c r="H683" t="s">
        <v>13</v>
      </c>
      <c r="I683" t="s">
        <v>14</v>
      </c>
    </row>
    <row r="684" spans="1:9" x14ac:dyDescent="0.2">
      <c r="A684">
        <v>320193</v>
      </c>
      <c r="B684" t="s">
        <v>88</v>
      </c>
      <c r="C684" t="s">
        <v>82</v>
      </c>
      <c r="D684" t="s">
        <v>83</v>
      </c>
      <c r="E684" t="s">
        <v>12</v>
      </c>
      <c r="F684">
        <v>5228000000</v>
      </c>
      <c r="G684" s="1">
        <v>45200</v>
      </c>
      <c r="H684" t="s">
        <v>13</v>
      </c>
      <c r="I684" t="s">
        <v>14</v>
      </c>
    </row>
    <row r="685" spans="1:9" x14ac:dyDescent="0.2">
      <c r="A685">
        <v>320193</v>
      </c>
      <c r="B685" t="s">
        <v>98</v>
      </c>
      <c r="C685" t="s">
        <v>82</v>
      </c>
      <c r="D685" t="s">
        <v>83</v>
      </c>
      <c r="E685" t="s">
        <v>12</v>
      </c>
      <c r="F685">
        <v>5228000000</v>
      </c>
      <c r="G685" s="1">
        <v>45200</v>
      </c>
      <c r="H685" t="s">
        <v>13</v>
      </c>
      <c r="I685" t="s">
        <v>14</v>
      </c>
    </row>
    <row r="686" spans="1:9" x14ac:dyDescent="0.2">
      <c r="A686">
        <v>320193</v>
      </c>
      <c r="B686" t="s">
        <v>101</v>
      </c>
      <c r="C686" t="s">
        <v>82</v>
      </c>
      <c r="D686" t="s">
        <v>83</v>
      </c>
      <c r="E686" t="s">
        <v>12</v>
      </c>
      <c r="F686">
        <v>5228000000</v>
      </c>
      <c r="G686" s="1">
        <v>45200</v>
      </c>
      <c r="H686" t="s">
        <v>13</v>
      </c>
      <c r="I686" t="s">
        <v>14</v>
      </c>
    </row>
    <row r="687" spans="1:9" x14ac:dyDescent="0.2">
      <c r="A687">
        <v>320193</v>
      </c>
      <c r="B687" t="s">
        <v>88</v>
      </c>
      <c r="C687" t="s">
        <v>82</v>
      </c>
      <c r="D687" t="s">
        <v>83</v>
      </c>
      <c r="E687" t="s">
        <v>12</v>
      </c>
      <c r="F687">
        <v>0</v>
      </c>
      <c r="G687" s="1">
        <v>45564</v>
      </c>
      <c r="H687" t="s">
        <v>13</v>
      </c>
      <c r="I687" t="s">
        <v>14</v>
      </c>
    </row>
    <row r="688" spans="1:9" x14ac:dyDescent="0.2">
      <c r="A688">
        <v>320193</v>
      </c>
      <c r="B688" t="s">
        <v>98</v>
      </c>
      <c r="C688" t="s">
        <v>82</v>
      </c>
      <c r="D688" t="s">
        <v>83</v>
      </c>
      <c r="E688" t="s">
        <v>12</v>
      </c>
      <c r="F688">
        <v>0</v>
      </c>
      <c r="G688" s="1">
        <v>45564</v>
      </c>
      <c r="H688" t="s">
        <v>13</v>
      </c>
      <c r="I688" t="s">
        <v>14</v>
      </c>
    </row>
    <row r="689" spans="1:9" x14ac:dyDescent="0.2">
      <c r="A689">
        <v>320193</v>
      </c>
      <c r="B689" t="s">
        <v>88</v>
      </c>
      <c r="C689" t="s">
        <v>82</v>
      </c>
      <c r="D689" t="s">
        <v>83</v>
      </c>
      <c r="E689" t="s">
        <v>12</v>
      </c>
      <c r="F689">
        <v>4481000000</v>
      </c>
      <c r="G689" s="1">
        <v>45928</v>
      </c>
      <c r="H689" t="s">
        <v>13</v>
      </c>
      <c r="I689" t="s">
        <v>14</v>
      </c>
    </row>
    <row r="690" spans="1:9" x14ac:dyDescent="0.2">
      <c r="A690">
        <v>320193</v>
      </c>
      <c r="B690" t="s">
        <v>9</v>
      </c>
      <c r="C690" t="s">
        <v>55</v>
      </c>
      <c r="D690" t="s">
        <v>56</v>
      </c>
      <c r="E690" t="s">
        <v>12</v>
      </c>
      <c r="F690">
        <v>8784000000</v>
      </c>
      <c r="G690" s="1">
        <v>43373</v>
      </c>
      <c r="H690" t="s">
        <v>13</v>
      </c>
      <c r="I690" t="s">
        <v>14</v>
      </c>
    </row>
    <row r="691" spans="1:9" x14ac:dyDescent="0.2">
      <c r="A691">
        <v>320193</v>
      </c>
      <c r="B691" t="s">
        <v>9</v>
      </c>
      <c r="C691" t="s">
        <v>55</v>
      </c>
      <c r="D691" t="s">
        <v>56</v>
      </c>
      <c r="E691" t="s">
        <v>12</v>
      </c>
      <c r="F691">
        <v>8784000000</v>
      </c>
      <c r="G691" s="1">
        <v>43373</v>
      </c>
      <c r="H691" t="s">
        <v>13</v>
      </c>
      <c r="I691" t="s">
        <v>14</v>
      </c>
    </row>
    <row r="692" spans="1:9" x14ac:dyDescent="0.2">
      <c r="A692">
        <v>320193</v>
      </c>
      <c r="B692" t="s">
        <v>9</v>
      </c>
      <c r="C692" t="s">
        <v>55</v>
      </c>
      <c r="D692" t="s">
        <v>56</v>
      </c>
      <c r="E692" t="s">
        <v>12</v>
      </c>
      <c r="F692">
        <v>10260000000</v>
      </c>
      <c r="G692" s="1">
        <v>43737</v>
      </c>
      <c r="H692" t="s">
        <v>13</v>
      </c>
      <c r="I692" t="s">
        <v>14</v>
      </c>
    </row>
    <row r="693" spans="1:9" x14ac:dyDescent="0.2">
      <c r="A693">
        <v>320193</v>
      </c>
      <c r="B693" t="s">
        <v>9</v>
      </c>
      <c r="C693" t="s">
        <v>55</v>
      </c>
      <c r="D693" t="s">
        <v>56</v>
      </c>
      <c r="E693" t="s">
        <v>12</v>
      </c>
      <c r="F693">
        <v>10260000000</v>
      </c>
      <c r="G693" s="1">
        <v>43737</v>
      </c>
      <c r="H693" t="s">
        <v>13</v>
      </c>
      <c r="I693" t="s">
        <v>14</v>
      </c>
    </row>
    <row r="694" spans="1:9" x14ac:dyDescent="0.2">
      <c r="A694">
        <v>320193</v>
      </c>
      <c r="B694" t="s">
        <v>100</v>
      </c>
      <c r="C694" t="s">
        <v>55</v>
      </c>
      <c r="D694" t="s">
        <v>56</v>
      </c>
      <c r="E694" t="s">
        <v>12</v>
      </c>
      <c r="F694">
        <v>10260000000</v>
      </c>
      <c r="G694" s="1">
        <v>43737</v>
      </c>
      <c r="H694" t="s">
        <v>13</v>
      </c>
      <c r="I694" t="s">
        <v>14</v>
      </c>
    </row>
    <row r="695" spans="1:9" x14ac:dyDescent="0.2">
      <c r="A695">
        <v>320193</v>
      </c>
      <c r="B695" t="s">
        <v>100</v>
      </c>
      <c r="C695" t="s">
        <v>55</v>
      </c>
      <c r="D695" t="s">
        <v>56</v>
      </c>
      <c r="E695" t="s">
        <v>12</v>
      </c>
      <c r="F695">
        <v>10260000000</v>
      </c>
      <c r="G695" s="1">
        <v>43737</v>
      </c>
      <c r="H695" t="s">
        <v>13</v>
      </c>
      <c r="I695" t="s">
        <v>14</v>
      </c>
    </row>
    <row r="696" spans="1:9" x14ac:dyDescent="0.2">
      <c r="A696">
        <v>320193</v>
      </c>
      <c r="B696" t="s">
        <v>99</v>
      </c>
      <c r="C696" t="s">
        <v>55</v>
      </c>
      <c r="D696" t="s">
        <v>56</v>
      </c>
      <c r="E696" t="s">
        <v>12</v>
      </c>
      <c r="F696">
        <v>8773000000</v>
      </c>
      <c r="G696" s="1">
        <v>44101</v>
      </c>
      <c r="H696" t="s">
        <v>13</v>
      </c>
      <c r="I696" t="s">
        <v>14</v>
      </c>
    </row>
    <row r="697" spans="1:9" x14ac:dyDescent="0.2">
      <c r="A697">
        <v>320193</v>
      </c>
      <c r="B697" t="s">
        <v>99</v>
      </c>
      <c r="C697" t="s">
        <v>55</v>
      </c>
      <c r="D697" t="s">
        <v>56</v>
      </c>
      <c r="E697" t="s">
        <v>12</v>
      </c>
      <c r="F697">
        <v>8773000000</v>
      </c>
      <c r="G697" s="1">
        <v>44101</v>
      </c>
      <c r="H697" t="s">
        <v>13</v>
      </c>
      <c r="I697" t="s">
        <v>14</v>
      </c>
    </row>
    <row r="698" spans="1:9" x14ac:dyDescent="0.2">
      <c r="A698">
        <v>320193</v>
      </c>
      <c r="B698" t="s">
        <v>100</v>
      </c>
      <c r="C698" t="s">
        <v>55</v>
      </c>
      <c r="D698" t="s">
        <v>56</v>
      </c>
      <c r="E698" t="s">
        <v>12</v>
      </c>
      <c r="F698">
        <v>8773000000</v>
      </c>
      <c r="G698" s="1">
        <v>44101</v>
      </c>
      <c r="H698" t="s">
        <v>13</v>
      </c>
      <c r="I698" t="s">
        <v>14</v>
      </c>
    </row>
    <row r="699" spans="1:9" x14ac:dyDescent="0.2">
      <c r="A699">
        <v>320193</v>
      </c>
      <c r="B699" t="s">
        <v>100</v>
      </c>
      <c r="C699" t="s">
        <v>55</v>
      </c>
      <c r="D699" t="s">
        <v>56</v>
      </c>
      <c r="E699" t="s">
        <v>12</v>
      </c>
      <c r="F699">
        <v>8773000000</v>
      </c>
      <c r="G699" s="1">
        <v>44101</v>
      </c>
      <c r="H699" t="s">
        <v>13</v>
      </c>
      <c r="I699" t="s">
        <v>14</v>
      </c>
    </row>
    <row r="700" spans="1:9" x14ac:dyDescent="0.2">
      <c r="A700">
        <v>320193</v>
      </c>
      <c r="B700" t="s">
        <v>97</v>
      </c>
      <c r="C700" t="s">
        <v>55</v>
      </c>
      <c r="D700" t="s">
        <v>56</v>
      </c>
      <c r="E700" t="s">
        <v>12</v>
      </c>
      <c r="F700">
        <v>9613000000</v>
      </c>
      <c r="G700" s="1">
        <v>44465</v>
      </c>
      <c r="H700" t="s">
        <v>13</v>
      </c>
      <c r="I700" t="s">
        <v>14</v>
      </c>
    </row>
    <row r="701" spans="1:9" x14ac:dyDescent="0.2">
      <c r="A701">
        <v>320193</v>
      </c>
      <c r="B701" t="s">
        <v>97</v>
      </c>
      <c r="C701" t="s">
        <v>55</v>
      </c>
      <c r="D701" t="s">
        <v>56</v>
      </c>
      <c r="E701" t="s">
        <v>12</v>
      </c>
      <c r="F701">
        <v>9613000000</v>
      </c>
      <c r="G701" s="1">
        <v>44465</v>
      </c>
      <c r="H701" t="s">
        <v>13</v>
      </c>
      <c r="I701" t="s">
        <v>14</v>
      </c>
    </row>
    <row r="702" spans="1:9" x14ac:dyDescent="0.2">
      <c r="A702">
        <v>320193</v>
      </c>
      <c r="B702" t="s">
        <v>99</v>
      </c>
      <c r="C702" t="s">
        <v>55</v>
      </c>
      <c r="D702" t="s">
        <v>56</v>
      </c>
      <c r="E702" t="s">
        <v>12</v>
      </c>
      <c r="F702">
        <v>9613000000</v>
      </c>
      <c r="G702" s="1">
        <v>44465</v>
      </c>
      <c r="H702" t="s">
        <v>13</v>
      </c>
      <c r="I702" t="s">
        <v>14</v>
      </c>
    </row>
    <row r="703" spans="1:9" x14ac:dyDescent="0.2">
      <c r="A703">
        <v>320193</v>
      </c>
      <c r="B703" t="s">
        <v>99</v>
      </c>
      <c r="C703" t="s">
        <v>55</v>
      </c>
      <c r="D703" t="s">
        <v>56</v>
      </c>
      <c r="E703" t="s">
        <v>12</v>
      </c>
      <c r="F703">
        <v>9613000000</v>
      </c>
      <c r="G703" s="1">
        <v>44465</v>
      </c>
      <c r="H703" t="s">
        <v>13</v>
      </c>
      <c r="I703" t="s">
        <v>14</v>
      </c>
    </row>
    <row r="704" spans="1:9" x14ac:dyDescent="0.2">
      <c r="A704">
        <v>320193</v>
      </c>
      <c r="B704" t="s">
        <v>97</v>
      </c>
      <c r="C704" t="s">
        <v>55</v>
      </c>
      <c r="D704" t="s">
        <v>56</v>
      </c>
      <c r="E704" t="s">
        <v>12</v>
      </c>
      <c r="F704">
        <v>11128000000</v>
      </c>
      <c r="G704" s="1">
        <v>44829</v>
      </c>
      <c r="H704" t="s">
        <v>13</v>
      </c>
      <c r="I704" t="s">
        <v>14</v>
      </c>
    </row>
    <row r="705" spans="1:9" x14ac:dyDescent="0.2">
      <c r="A705">
        <v>320193</v>
      </c>
      <c r="B705" t="s">
        <v>97</v>
      </c>
      <c r="C705" t="s">
        <v>55</v>
      </c>
      <c r="D705" t="s">
        <v>56</v>
      </c>
      <c r="E705" t="s">
        <v>12</v>
      </c>
      <c r="F705">
        <v>11128000000</v>
      </c>
      <c r="G705" s="1">
        <v>44829</v>
      </c>
      <c r="H705" t="s">
        <v>13</v>
      </c>
      <c r="I705" t="s">
        <v>14</v>
      </c>
    </row>
    <row r="706" spans="1:9" x14ac:dyDescent="0.2">
      <c r="A706">
        <v>320193</v>
      </c>
      <c r="B706" t="s">
        <v>101</v>
      </c>
      <c r="C706" t="s">
        <v>55</v>
      </c>
      <c r="D706" t="s">
        <v>56</v>
      </c>
      <c r="E706" t="s">
        <v>12</v>
      </c>
      <c r="F706">
        <v>11128000000</v>
      </c>
      <c r="G706" s="1">
        <v>44829</v>
      </c>
      <c r="H706" t="s">
        <v>13</v>
      </c>
      <c r="I706" t="s">
        <v>14</v>
      </c>
    </row>
    <row r="707" spans="1:9" x14ac:dyDescent="0.2">
      <c r="A707">
        <v>320193</v>
      </c>
      <c r="B707" t="s">
        <v>101</v>
      </c>
      <c r="C707" t="s">
        <v>55</v>
      </c>
      <c r="D707" t="s">
        <v>56</v>
      </c>
      <c r="E707" t="s">
        <v>12</v>
      </c>
      <c r="F707">
        <v>11128000000</v>
      </c>
      <c r="G707" s="1">
        <v>44829</v>
      </c>
      <c r="H707" t="s">
        <v>13</v>
      </c>
      <c r="I707" t="s">
        <v>14</v>
      </c>
    </row>
    <row r="708" spans="1:9" x14ac:dyDescent="0.2">
      <c r="A708">
        <v>320193</v>
      </c>
      <c r="B708" t="s">
        <v>98</v>
      </c>
      <c r="C708" t="s">
        <v>55</v>
      </c>
      <c r="D708" t="s">
        <v>56</v>
      </c>
      <c r="E708" t="s">
        <v>12</v>
      </c>
      <c r="F708">
        <v>9822000000</v>
      </c>
      <c r="G708" s="1">
        <v>45200</v>
      </c>
      <c r="H708" t="s">
        <v>13</v>
      </c>
      <c r="I708" t="s">
        <v>14</v>
      </c>
    </row>
    <row r="709" spans="1:9" x14ac:dyDescent="0.2">
      <c r="A709">
        <v>320193</v>
      </c>
      <c r="B709" t="s">
        <v>98</v>
      </c>
      <c r="C709" t="s">
        <v>55</v>
      </c>
      <c r="D709" t="s">
        <v>56</v>
      </c>
      <c r="E709" t="s">
        <v>12</v>
      </c>
      <c r="F709">
        <v>9822000000</v>
      </c>
      <c r="G709" s="1">
        <v>45200</v>
      </c>
      <c r="H709" t="s">
        <v>13</v>
      </c>
      <c r="I709" t="s">
        <v>14</v>
      </c>
    </row>
    <row r="710" spans="1:9" x14ac:dyDescent="0.2">
      <c r="A710">
        <v>320193</v>
      </c>
      <c r="B710" t="s">
        <v>101</v>
      </c>
      <c r="C710" t="s">
        <v>55</v>
      </c>
      <c r="D710" t="s">
        <v>56</v>
      </c>
      <c r="E710" t="s">
        <v>12</v>
      </c>
      <c r="F710">
        <v>9822000000</v>
      </c>
      <c r="G710" s="1">
        <v>45200</v>
      </c>
      <c r="H710" t="s">
        <v>13</v>
      </c>
      <c r="I710" t="s">
        <v>14</v>
      </c>
    </row>
    <row r="711" spans="1:9" x14ac:dyDescent="0.2">
      <c r="A711">
        <v>320193</v>
      </c>
      <c r="B711" t="s">
        <v>101</v>
      </c>
      <c r="C711" t="s">
        <v>55</v>
      </c>
      <c r="D711" t="s">
        <v>56</v>
      </c>
      <c r="E711" t="s">
        <v>12</v>
      </c>
      <c r="F711">
        <v>9822000000</v>
      </c>
      <c r="G711" s="1">
        <v>45200</v>
      </c>
      <c r="H711" t="s">
        <v>13</v>
      </c>
      <c r="I711" t="s">
        <v>14</v>
      </c>
    </row>
    <row r="712" spans="1:9" x14ac:dyDescent="0.2">
      <c r="A712">
        <v>320193</v>
      </c>
      <c r="B712" t="s">
        <v>88</v>
      </c>
      <c r="C712" t="s">
        <v>55</v>
      </c>
      <c r="D712" t="s">
        <v>56</v>
      </c>
      <c r="E712" t="s">
        <v>12</v>
      </c>
      <c r="F712">
        <v>10912000000</v>
      </c>
      <c r="G712" s="1">
        <v>45564</v>
      </c>
      <c r="H712" t="s">
        <v>13</v>
      </c>
      <c r="I712" t="s">
        <v>14</v>
      </c>
    </row>
    <row r="713" spans="1:9" x14ac:dyDescent="0.2">
      <c r="A713">
        <v>320193</v>
      </c>
      <c r="B713" t="s">
        <v>88</v>
      </c>
      <c r="C713" t="s">
        <v>55</v>
      </c>
      <c r="D713" t="s">
        <v>56</v>
      </c>
      <c r="E713" t="s">
        <v>12</v>
      </c>
      <c r="F713">
        <v>10912000000</v>
      </c>
      <c r="G713" s="1">
        <v>45564</v>
      </c>
      <c r="H713" t="s">
        <v>13</v>
      </c>
      <c r="I713" t="s">
        <v>14</v>
      </c>
    </row>
    <row r="714" spans="1:9" x14ac:dyDescent="0.2">
      <c r="A714">
        <v>320193</v>
      </c>
      <c r="B714" t="s">
        <v>98</v>
      </c>
      <c r="C714" t="s">
        <v>55</v>
      </c>
      <c r="D714" t="s">
        <v>56</v>
      </c>
      <c r="E714" t="s">
        <v>12</v>
      </c>
      <c r="F714">
        <v>10912000000</v>
      </c>
      <c r="G714" s="1">
        <v>45564</v>
      </c>
      <c r="H714" t="s">
        <v>13</v>
      </c>
      <c r="I714" t="s">
        <v>14</v>
      </c>
    </row>
    <row r="715" spans="1:9" x14ac:dyDescent="0.2">
      <c r="A715">
        <v>320193</v>
      </c>
      <c r="B715" t="s">
        <v>98</v>
      </c>
      <c r="C715" t="s">
        <v>55</v>
      </c>
      <c r="D715" t="s">
        <v>56</v>
      </c>
      <c r="E715" t="s">
        <v>12</v>
      </c>
      <c r="F715">
        <v>10912000000</v>
      </c>
      <c r="G715" s="1">
        <v>45564</v>
      </c>
      <c r="H715" t="s">
        <v>13</v>
      </c>
      <c r="I715" t="s">
        <v>14</v>
      </c>
    </row>
    <row r="716" spans="1:9" x14ac:dyDescent="0.2">
      <c r="A716">
        <v>320193</v>
      </c>
      <c r="B716" t="s">
        <v>88</v>
      </c>
      <c r="C716" t="s">
        <v>55</v>
      </c>
      <c r="D716" t="s">
        <v>56</v>
      </c>
      <c r="E716" t="s">
        <v>12</v>
      </c>
      <c r="F716">
        <v>12350000000</v>
      </c>
      <c r="G716" s="1">
        <v>45928</v>
      </c>
      <c r="H716" t="s">
        <v>13</v>
      </c>
      <c r="I716" t="s">
        <v>14</v>
      </c>
    </row>
    <row r="717" spans="1:9" x14ac:dyDescent="0.2">
      <c r="A717">
        <v>320193</v>
      </c>
      <c r="B717" t="s">
        <v>88</v>
      </c>
      <c r="C717" t="s">
        <v>55</v>
      </c>
      <c r="D717" t="s">
        <v>56</v>
      </c>
      <c r="E717" t="s">
        <v>12</v>
      </c>
      <c r="F717">
        <v>12350000000</v>
      </c>
      <c r="G717" s="1">
        <v>45928</v>
      </c>
      <c r="H717" t="s">
        <v>13</v>
      </c>
      <c r="I717" t="s">
        <v>14</v>
      </c>
    </row>
    <row r="718" spans="1:9" x14ac:dyDescent="0.2">
      <c r="A718">
        <v>320193</v>
      </c>
      <c r="B718" t="s">
        <v>9</v>
      </c>
      <c r="C718" t="s">
        <v>57</v>
      </c>
      <c r="D718" t="s">
        <v>58</v>
      </c>
      <c r="E718" t="s">
        <v>12</v>
      </c>
      <c r="F718">
        <v>93735000000</v>
      </c>
      <c r="G718" s="1">
        <v>43373</v>
      </c>
      <c r="H718" t="s">
        <v>13</v>
      </c>
      <c r="I718" t="s">
        <v>14</v>
      </c>
    </row>
    <row r="719" spans="1:9" x14ac:dyDescent="0.2">
      <c r="A719">
        <v>320193</v>
      </c>
      <c r="B719" t="s">
        <v>9</v>
      </c>
      <c r="C719" t="s">
        <v>57</v>
      </c>
      <c r="D719" t="s">
        <v>58</v>
      </c>
      <c r="E719" t="s">
        <v>12</v>
      </c>
      <c r="F719">
        <v>93735000000</v>
      </c>
      <c r="G719" s="1">
        <v>43373</v>
      </c>
      <c r="H719" t="s">
        <v>13</v>
      </c>
      <c r="I719" t="s">
        <v>14</v>
      </c>
    </row>
    <row r="720" spans="1:9" x14ac:dyDescent="0.2">
      <c r="A720">
        <v>320193</v>
      </c>
      <c r="B720" t="s">
        <v>9</v>
      </c>
      <c r="C720" t="s">
        <v>57</v>
      </c>
      <c r="D720" t="s">
        <v>58</v>
      </c>
      <c r="E720" t="s">
        <v>12</v>
      </c>
      <c r="F720">
        <v>91807000000</v>
      </c>
      <c r="G720" s="1">
        <v>43737</v>
      </c>
      <c r="H720" t="s">
        <v>13</v>
      </c>
      <c r="I720" t="s">
        <v>14</v>
      </c>
    </row>
    <row r="721" spans="1:9" x14ac:dyDescent="0.2">
      <c r="A721">
        <v>320193</v>
      </c>
      <c r="B721" t="s">
        <v>9</v>
      </c>
      <c r="C721" t="s">
        <v>57</v>
      </c>
      <c r="D721" t="s">
        <v>58</v>
      </c>
      <c r="E721" t="s">
        <v>12</v>
      </c>
      <c r="F721">
        <v>91807000000</v>
      </c>
      <c r="G721" s="1">
        <v>43737</v>
      </c>
      <c r="H721" t="s">
        <v>13</v>
      </c>
      <c r="I721" t="s">
        <v>14</v>
      </c>
    </row>
    <row r="722" spans="1:9" x14ac:dyDescent="0.2">
      <c r="A722">
        <v>320193</v>
      </c>
      <c r="B722" t="s">
        <v>100</v>
      </c>
      <c r="C722" t="s">
        <v>57</v>
      </c>
      <c r="D722" t="s">
        <v>58</v>
      </c>
      <c r="E722" t="s">
        <v>12</v>
      </c>
      <c r="F722">
        <v>91807000000</v>
      </c>
      <c r="G722" s="1">
        <v>43737</v>
      </c>
      <c r="H722" t="s">
        <v>13</v>
      </c>
      <c r="I722" t="s">
        <v>14</v>
      </c>
    </row>
    <row r="723" spans="1:9" x14ac:dyDescent="0.2">
      <c r="A723">
        <v>320193</v>
      </c>
      <c r="B723" t="s">
        <v>100</v>
      </c>
      <c r="C723" t="s">
        <v>57</v>
      </c>
      <c r="D723" t="s">
        <v>58</v>
      </c>
      <c r="E723" t="s">
        <v>12</v>
      </c>
      <c r="F723">
        <v>91807000000</v>
      </c>
      <c r="G723" s="1">
        <v>43737</v>
      </c>
      <c r="H723" t="s">
        <v>13</v>
      </c>
      <c r="I723" t="s">
        <v>14</v>
      </c>
    </row>
    <row r="724" spans="1:9" x14ac:dyDescent="0.2">
      <c r="A724">
        <v>320193</v>
      </c>
      <c r="B724" t="s">
        <v>99</v>
      </c>
      <c r="C724" t="s">
        <v>57</v>
      </c>
      <c r="D724" t="s">
        <v>58</v>
      </c>
      <c r="E724" t="s">
        <v>12</v>
      </c>
      <c r="F724">
        <v>98667000000</v>
      </c>
      <c r="G724" s="1">
        <v>44101</v>
      </c>
      <c r="H724" t="s">
        <v>13</v>
      </c>
      <c r="I724" t="s">
        <v>14</v>
      </c>
    </row>
    <row r="725" spans="1:9" x14ac:dyDescent="0.2">
      <c r="A725">
        <v>320193</v>
      </c>
      <c r="B725" t="s">
        <v>99</v>
      </c>
      <c r="C725" t="s">
        <v>57</v>
      </c>
      <c r="D725" t="s">
        <v>58</v>
      </c>
      <c r="E725" t="s">
        <v>12</v>
      </c>
      <c r="F725">
        <v>98667000000</v>
      </c>
      <c r="G725" s="1">
        <v>44101</v>
      </c>
      <c r="H725" t="s">
        <v>13</v>
      </c>
      <c r="I725" t="s">
        <v>14</v>
      </c>
    </row>
    <row r="726" spans="1:9" x14ac:dyDescent="0.2">
      <c r="A726">
        <v>320193</v>
      </c>
      <c r="B726" t="s">
        <v>100</v>
      </c>
      <c r="C726" t="s">
        <v>57</v>
      </c>
      <c r="D726" t="s">
        <v>58</v>
      </c>
      <c r="E726" t="s">
        <v>12</v>
      </c>
      <c r="F726">
        <v>98667000000</v>
      </c>
      <c r="G726" s="1">
        <v>44101</v>
      </c>
      <c r="H726" t="s">
        <v>13</v>
      </c>
      <c r="I726" t="s">
        <v>14</v>
      </c>
    </row>
    <row r="727" spans="1:9" x14ac:dyDescent="0.2">
      <c r="A727">
        <v>320193</v>
      </c>
      <c r="B727" t="s">
        <v>100</v>
      </c>
      <c r="C727" t="s">
        <v>57</v>
      </c>
      <c r="D727" t="s">
        <v>58</v>
      </c>
      <c r="E727" t="s">
        <v>12</v>
      </c>
      <c r="F727">
        <v>98667000000</v>
      </c>
      <c r="G727" s="1">
        <v>44101</v>
      </c>
      <c r="H727" t="s">
        <v>13</v>
      </c>
      <c r="I727" t="s">
        <v>14</v>
      </c>
    </row>
    <row r="728" spans="1:9" x14ac:dyDescent="0.2">
      <c r="A728">
        <v>320193</v>
      </c>
      <c r="B728" t="s">
        <v>97</v>
      </c>
      <c r="C728" t="s">
        <v>57</v>
      </c>
      <c r="D728" t="s">
        <v>58</v>
      </c>
      <c r="E728" t="s">
        <v>12</v>
      </c>
      <c r="F728">
        <v>109106000000</v>
      </c>
      <c r="G728" s="1">
        <v>44465</v>
      </c>
      <c r="H728" t="s">
        <v>13</v>
      </c>
      <c r="I728" t="s">
        <v>14</v>
      </c>
    </row>
    <row r="729" spans="1:9" x14ac:dyDescent="0.2">
      <c r="A729">
        <v>320193</v>
      </c>
      <c r="B729" t="s">
        <v>97</v>
      </c>
      <c r="C729" t="s">
        <v>57</v>
      </c>
      <c r="D729" t="s">
        <v>58</v>
      </c>
      <c r="E729" t="s">
        <v>12</v>
      </c>
      <c r="F729">
        <v>109106000000</v>
      </c>
      <c r="G729" s="1">
        <v>44465</v>
      </c>
      <c r="H729" t="s">
        <v>13</v>
      </c>
      <c r="I729" t="s">
        <v>14</v>
      </c>
    </row>
    <row r="730" spans="1:9" x14ac:dyDescent="0.2">
      <c r="A730">
        <v>320193</v>
      </c>
      <c r="B730" t="s">
        <v>99</v>
      </c>
      <c r="C730" t="s">
        <v>57</v>
      </c>
      <c r="D730" t="s">
        <v>58</v>
      </c>
      <c r="E730" t="s">
        <v>12</v>
      </c>
      <c r="F730">
        <v>109106000000</v>
      </c>
      <c r="G730" s="1">
        <v>44465</v>
      </c>
      <c r="H730" t="s">
        <v>13</v>
      </c>
      <c r="I730" t="s">
        <v>14</v>
      </c>
    </row>
    <row r="731" spans="1:9" x14ac:dyDescent="0.2">
      <c r="A731">
        <v>320193</v>
      </c>
      <c r="B731" t="s">
        <v>99</v>
      </c>
      <c r="C731" t="s">
        <v>57</v>
      </c>
      <c r="D731" t="s">
        <v>58</v>
      </c>
      <c r="E731" t="s">
        <v>12</v>
      </c>
      <c r="F731">
        <v>109106000000</v>
      </c>
      <c r="G731" s="1">
        <v>44465</v>
      </c>
      <c r="H731" t="s">
        <v>13</v>
      </c>
      <c r="I731" t="s">
        <v>14</v>
      </c>
    </row>
    <row r="732" spans="1:9" x14ac:dyDescent="0.2">
      <c r="A732">
        <v>320193</v>
      </c>
      <c r="B732" t="s">
        <v>97</v>
      </c>
      <c r="C732" t="s">
        <v>57</v>
      </c>
      <c r="D732" t="s">
        <v>58</v>
      </c>
      <c r="E732" t="s">
        <v>12</v>
      </c>
      <c r="F732">
        <v>98959000000</v>
      </c>
      <c r="G732" s="1">
        <v>44829</v>
      </c>
      <c r="H732" t="s">
        <v>13</v>
      </c>
      <c r="I732" t="s">
        <v>14</v>
      </c>
    </row>
    <row r="733" spans="1:9" x14ac:dyDescent="0.2">
      <c r="A733">
        <v>320193</v>
      </c>
      <c r="B733" t="s">
        <v>97</v>
      </c>
      <c r="C733" t="s">
        <v>57</v>
      </c>
      <c r="D733" t="s">
        <v>58</v>
      </c>
      <c r="E733" t="s">
        <v>12</v>
      </c>
      <c r="F733">
        <v>98959000000</v>
      </c>
      <c r="G733" s="1">
        <v>44829</v>
      </c>
      <c r="H733" t="s">
        <v>13</v>
      </c>
      <c r="I733" t="s">
        <v>14</v>
      </c>
    </row>
    <row r="734" spans="1:9" x14ac:dyDescent="0.2">
      <c r="A734">
        <v>320193</v>
      </c>
      <c r="B734" t="s">
        <v>101</v>
      </c>
      <c r="C734" t="s">
        <v>57</v>
      </c>
      <c r="D734" t="s">
        <v>58</v>
      </c>
      <c r="E734" t="s">
        <v>12</v>
      </c>
      <c r="F734">
        <v>98959000000</v>
      </c>
      <c r="G734" s="1">
        <v>44829</v>
      </c>
      <c r="H734" t="s">
        <v>13</v>
      </c>
      <c r="I734" t="s">
        <v>14</v>
      </c>
    </row>
    <row r="735" spans="1:9" x14ac:dyDescent="0.2">
      <c r="A735">
        <v>320193</v>
      </c>
      <c r="B735" t="s">
        <v>101</v>
      </c>
      <c r="C735" t="s">
        <v>57</v>
      </c>
      <c r="D735" t="s">
        <v>58</v>
      </c>
      <c r="E735" t="s">
        <v>12</v>
      </c>
      <c r="F735">
        <v>98959000000</v>
      </c>
      <c r="G735" s="1">
        <v>44829</v>
      </c>
      <c r="H735" t="s">
        <v>13</v>
      </c>
      <c r="I735" t="s">
        <v>14</v>
      </c>
    </row>
    <row r="736" spans="1:9" x14ac:dyDescent="0.2">
      <c r="A736">
        <v>320193</v>
      </c>
      <c r="B736" t="s">
        <v>98</v>
      </c>
      <c r="C736" t="s">
        <v>57</v>
      </c>
      <c r="D736" t="s">
        <v>58</v>
      </c>
      <c r="E736" t="s">
        <v>12</v>
      </c>
      <c r="F736">
        <v>95281000000</v>
      </c>
      <c r="G736" s="1">
        <v>45200</v>
      </c>
      <c r="H736" t="s">
        <v>13</v>
      </c>
      <c r="I736" t="s">
        <v>14</v>
      </c>
    </row>
    <row r="737" spans="1:9" x14ac:dyDescent="0.2">
      <c r="A737">
        <v>320193</v>
      </c>
      <c r="B737" t="s">
        <v>98</v>
      </c>
      <c r="C737" t="s">
        <v>57</v>
      </c>
      <c r="D737" t="s">
        <v>58</v>
      </c>
      <c r="E737" t="s">
        <v>12</v>
      </c>
      <c r="F737">
        <v>95281000000</v>
      </c>
      <c r="G737" s="1">
        <v>45200</v>
      </c>
      <c r="H737" t="s">
        <v>13</v>
      </c>
      <c r="I737" t="s">
        <v>14</v>
      </c>
    </row>
    <row r="738" spans="1:9" x14ac:dyDescent="0.2">
      <c r="A738">
        <v>320193</v>
      </c>
      <c r="B738" t="s">
        <v>101</v>
      </c>
      <c r="C738" t="s">
        <v>57</v>
      </c>
      <c r="D738" t="s">
        <v>58</v>
      </c>
      <c r="E738" t="s">
        <v>12</v>
      </c>
      <c r="F738">
        <v>95281000000</v>
      </c>
      <c r="G738" s="1">
        <v>45200</v>
      </c>
      <c r="H738" t="s">
        <v>13</v>
      </c>
      <c r="I738" t="s">
        <v>14</v>
      </c>
    </row>
    <row r="739" spans="1:9" x14ac:dyDescent="0.2">
      <c r="A739">
        <v>320193</v>
      </c>
      <c r="B739" t="s">
        <v>101</v>
      </c>
      <c r="C739" t="s">
        <v>57</v>
      </c>
      <c r="D739" t="s">
        <v>58</v>
      </c>
      <c r="E739" t="s">
        <v>12</v>
      </c>
      <c r="F739">
        <v>95281000000</v>
      </c>
      <c r="G739" s="1">
        <v>45200</v>
      </c>
      <c r="H739" t="s">
        <v>13</v>
      </c>
      <c r="I739" t="s">
        <v>14</v>
      </c>
    </row>
    <row r="740" spans="1:9" x14ac:dyDescent="0.2">
      <c r="A740">
        <v>320193</v>
      </c>
      <c r="B740" t="s">
        <v>88</v>
      </c>
      <c r="C740" t="s">
        <v>57</v>
      </c>
      <c r="D740" t="s">
        <v>58</v>
      </c>
      <c r="E740" t="s">
        <v>12</v>
      </c>
      <c r="F740">
        <v>85750000000</v>
      </c>
      <c r="G740" s="1">
        <v>45564</v>
      </c>
      <c r="H740" t="s">
        <v>13</v>
      </c>
      <c r="I740" t="s">
        <v>14</v>
      </c>
    </row>
    <row r="741" spans="1:9" x14ac:dyDescent="0.2">
      <c r="A741">
        <v>320193</v>
      </c>
      <c r="B741" t="s">
        <v>88</v>
      </c>
      <c r="C741" t="s">
        <v>57</v>
      </c>
      <c r="D741" t="s">
        <v>58</v>
      </c>
      <c r="E741" t="s">
        <v>12</v>
      </c>
      <c r="F741">
        <v>85750000000</v>
      </c>
      <c r="G741" s="1">
        <v>45564</v>
      </c>
      <c r="H741" t="s">
        <v>13</v>
      </c>
      <c r="I741" t="s">
        <v>14</v>
      </c>
    </row>
    <row r="742" spans="1:9" x14ac:dyDescent="0.2">
      <c r="A742">
        <v>320193</v>
      </c>
      <c r="B742" t="s">
        <v>98</v>
      </c>
      <c r="C742" t="s">
        <v>57</v>
      </c>
      <c r="D742" t="s">
        <v>58</v>
      </c>
      <c r="E742" t="s">
        <v>12</v>
      </c>
      <c r="F742">
        <v>85750000000</v>
      </c>
      <c r="G742" s="1">
        <v>45564</v>
      </c>
      <c r="H742" t="s">
        <v>13</v>
      </c>
      <c r="I742" t="s">
        <v>14</v>
      </c>
    </row>
    <row r="743" spans="1:9" x14ac:dyDescent="0.2">
      <c r="A743">
        <v>320193</v>
      </c>
      <c r="B743" t="s">
        <v>98</v>
      </c>
      <c r="C743" t="s">
        <v>57</v>
      </c>
      <c r="D743" t="s">
        <v>58</v>
      </c>
      <c r="E743" t="s">
        <v>12</v>
      </c>
      <c r="F743">
        <v>85750000000</v>
      </c>
      <c r="G743" s="1">
        <v>45564</v>
      </c>
      <c r="H743" t="s">
        <v>13</v>
      </c>
      <c r="I743" t="s">
        <v>14</v>
      </c>
    </row>
    <row r="744" spans="1:9" x14ac:dyDescent="0.2">
      <c r="A744">
        <v>320193</v>
      </c>
      <c r="B744" t="s">
        <v>88</v>
      </c>
      <c r="C744" t="s">
        <v>57</v>
      </c>
      <c r="D744" t="s">
        <v>58</v>
      </c>
      <c r="E744" t="s">
        <v>12</v>
      </c>
      <c r="F744">
        <v>78328000000</v>
      </c>
      <c r="G744" s="1">
        <v>45928</v>
      </c>
      <c r="H744" t="s">
        <v>13</v>
      </c>
      <c r="I744" t="s">
        <v>14</v>
      </c>
    </row>
    <row r="745" spans="1:9" x14ac:dyDescent="0.2">
      <c r="A745">
        <v>320193</v>
      </c>
      <c r="B745" t="s">
        <v>88</v>
      </c>
      <c r="C745" t="s">
        <v>57</v>
      </c>
      <c r="D745" t="s">
        <v>58</v>
      </c>
      <c r="E745" t="s">
        <v>12</v>
      </c>
      <c r="F745">
        <v>78328000000</v>
      </c>
      <c r="G745" s="1">
        <v>45928</v>
      </c>
      <c r="H745" t="s">
        <v>13</v>
      </c>
      <c r="I745" t="s">
        <v>14</v>
      </c>
    </row>
    <row r="746" spans="1:9" x14ac:dyDescent="0.2">
      <c r="A746">
        <v>320193</v>
      </c>
      <c r="B746" t="s">
        <v>9</v>
      </c>
      <c r="C746" t="s">
        <v>120</v>
      </c>
      <c r="D746" t="s">
        <v>121</v>
      </c>
      <c r="E746" t="s">
        <v>12</v>
      </c>
      <c r="F746">
        <v>40388000000</v>
      </c>
      <c r="G746" s="1">
        <v>43373</v>
      </c>
      <c r="H746" t="s">
        <v>13</v>
      </c>
      <c r="I746" t="s">
        <v>14</v>
      </c>
    </row>
    <row r="747" spans="1:9" x14ac:dyDescent="0.2">
      <c r="A747">
        <v>320193</v>
      </c>
      <c r="B747" t="s">
        <v>9</v>
      </c>
      <c r="C747" t="s">
        <v>120</v>
      </c>
      <c r="D747" t="s">
        <v>121</v>
      </c>
      <c r="E747" t="s">
        <v>12</v>
      </c>
      <c r="F747">
        <v>40388000000</v>
      </c>
      <c r="G747" s="1">
        <v>43373</v>
      </c>
      <c r="H747" t="s">
        <v>13</v>
      </c>
      <c r="I747" t="s">
        <v>14</v>
      </c>
    </row>
    <row r="748" spans="1:9" x14ac:dyDescent="0.2">
      <c r="A748">
        <v>320193</v>
      </c>
      <c r="B748" t="s">
        <v>9</v>
      </c>
      <c r="C748" t="s">
        <v>120</v>
      </c>
      <c r="D748" t="s">
        <v>121</v>
      </c>
      <c r="E748" t="s">
        <v>12</v>
      </c>
      <c r="F748">
        <v>51713000000</v>
      </c>
      <c r="G748" s="1">
        <v>43737</v>
      </c>
      <c r="H748" t="s">
        <v>13</v>
      </c>
      <c r="I748" t="s">
        <v>14</v>
      </c>
    </row>
    <row r="749" spans="1:9" x14ac:dyDescent="0.2">
      <c r="A749">
        <v>320193</v>
      </c>
      <c r="B749" t="s">
        <v>9</v>
      </c>
      <c r="C749" t="s">
        <v>120</v>
      </c>
      <c r="D749" t="s">
        <v>121</v>
      </c>
      <c r="E749" t="s">
        <v>12</v>
      </c>
      <c r="F749">
        <v>51713000000</v>
      </c>
      <c r="G749" s="1">
        <v>43737</v>
      </c>
      <c r="H749" t="s">
        <v>13</v>
      </c>
      <c r="I749" t="s">
        <v>14</v>
      </c>
    </row>
    <row r="750" spans="1:9" x14ac:dyDescent="0.2">
      <c r="A750">
        <v>320193</v>
      </c>
      <c r="B750" t="s">
        <v>100</v>
      </c>
      <c r="C750" t="s">
        <v>120</v>
      </c>
      <c r="D750" t="s">
        <v>121</v>
      </c>
      <c r="E750" t="s">
        <v>12</v>
      </c>
      <c r="F750">
        <v>51713000000</v>
      </c>
      <c r="G750" s="1">
        <v>43737</v>
      </c>
      <c r="H750" t="s">
        <v>13</v>
      </c>
      <c r="I750" t="s">
        <v>14</v>
      </c>
    </row>
    <row r="751" spans="1:9" x14ac:dyDescent="0.2">
      <c r="A751">
        <v>320193</v>
      </c>
      <c r="B751" t="s">
        <v>100</v>
      </c>
      <c r="C751" t="s">
        <v>120</v>
      </c>
      <c r="D751" t="s">
        <v>121</v>
      </c>
      <c r="E751" t="s">
        <v>12</v>
      </c>
      <c r="F751">
        <v>51713000000</v>
      </c>
      <c r="G751" s="1">
        <v>43737</v>
      </c>
      <c r="H751" t="s">
        <v>13</v>
      </c>
      <c r="I751" t="s">
        <v>14</v>
      </c>
    </row>
    <row r="752" spans="1:9" x14ac:dyDescent="0.2">
      <c r="A752">
        <v>320193</v>
      </c>
      <c r="B752" t="s">
        <v>99</v>
      </c>
      <c r="C752" t="s">
        <v>120</v>
      </c>
      <c r="D752" t="s">
        <v>121</v>
      </c>
      <c r="E752" t="s">
        <v>12</v>
      </c>
      <c r="F752">
        <v>52927000000</v>
      </c>
      <c r="G752" s="1">
        <v>44101</v>
      </c>
      <c r="H752" t="s">
        <v>13</v>
      </c>
      <c r="I752" t="s">
        <v>14</v>
      </c>
    </row>
    <row r="753" spans="1:9" x14ac:dyDescent="0.2">
      <c r="A753">
        <v>320193</v>
      </c>
      <c r="B753" t="s">
        <v>99</v>
      </c>
      <c r="C753" t="s">
        <v>120</v>
      </c>
      <c r="D753" t="s">
        <v>121</v>
      </c>
      <c r="E753" t="s">
        <v>12</v>
      </c>
      <c r="F753">
        <v>52927000000</v>
      </c>
      <c r="G753" s="1">
        <v>44101</v>
      </c>
      <c r="H753" t="s">
        <v>13</v>
      </c>
      <c r="I753" t="s">
        <v>14</v>
      </c>
    </row>
    <row r="754" spans="1:9" x14ac:dyDescent="0.2">
      <c r="A754">
        <v>320193</v>
      </c>
      <c r="B754" t="s">
        <v>100</v>
      </c>
      <c r="C754" t="s">
        <v>120</v>
      </c>
      <c r="D754" t="s">
        <v>121</v>
      </c>
      <c r="E754" t="s">
        <v>12</v>
      </c>
      <c r="F754">
        <v>52927000000</v>
      </c>
      <c r="G754" s="1">
        <v>44101</v>
      </c>
      <c r="H754" t="s">
        <v>13</v>
      </c>
      <c r="I754" t="s">
        <v>14</v>
      </c>
    </row>
    <row r="755" spans="1:9" x14ac:dyDescent="0.2">
      <c r="A755">
        <v>320193</v>
      </c>
      <c r="B755" t="s">
        <v>100</v>
      </c>
      <c r="C755" t="s">
        <v>120</v>
      </c>
      <c r="D755" t="s">
        <v>121</v>
      </c>
      <c r="E755" t="s">
        <v>12</v>
      </c>
      <c r="F755">
        <v>52927000000</v>
      </c>
      <c r="G755" s="1">
        <v>44101</v>
      </c>
      <c r="H755" t="s">
        <v>13</v>
      </c>
      <c r="I755" t="s">
        <v>14</v>
      </c>
    </row>
    <row r="756" spans="1:9" x14ac:dyDescent="0.2">
      <c r="A756">
        <v>320193</v>
      </c>
      <c r="B756" t="s">
        <v>97</v>
      </c>
      <c r="C756" t="s">
        <v>120</v>
      </c>
      <c r="D756" t="s">
        <v>121</v>
      </c>
      <c r="E756" t="s">
        <v>12</v>
      </c>
      <c r="F756">
        <v>27699000000</v>
      </c>
      <c r="G756" s="1">
        <v>44465</v>
      </c>
      <c r="H756" t="s">
        <v>13</v>
      </c>
      <c r="I756" t="s">
        <v>14</v>
      </c>
    </row>
    <row r="757" spans="1:9" x14ac:dyDescent="0.2">
      <c r="A757">
        <v>320193</v>
      </c>
      <c r="B757" t="s">
        <v>97</v>
      </c>
      <c r="C757" t="s">
        <v>120</v>
      </c>
      <c r="D757" t="s">
        <v>121</v>
      </c>
      <c r="E757" t="s">
        <v>12</v>
      </c>
      <c r="F757">
        <v>27699000000</v>
      </c>
      <c r="G757" s="1">
        <v>44465</v>
      </c>
      <c r="H757" t="s">
        <v>13</v>
      </c>
      <c r="I757" t="s">
        <v>14</v>
      </c>
    </row>
    <row r="758" spans="1:9" x14ac:dyDescent="0.2">
      <c r="A758">
        <v>320193</v>
      </c>
      <c r="B758" t="s">
        <v>99</v>
      </c>
      <c r="C758" t="s">
        <v>120</v>
      </c>
      <c r="D758" t="s">
        <v>121</v>
      </c>
      <c r="E758" t="s">
        <v>12</v>
      </c>
      <c r="F758">
        <v>27699000000</v>
      </c>
      <c r="G758" s="1">
        <v>44465</v>
      </c>
      <c r="H758" t="s">
        <v>13</v>
      </c>
      <c r="I758" t="s">
        <v>14</v>
      </c>
    </row>
    <row r="759" spans="1:9" x14ac:dyDescent="0.2">
      <c r="A759">
        <v>320193</v>
      </c>
      <c r="B759" t="s">
        <v>99</v>
      </c>
      <c r="C759" t="s">
        <v>120</v>
      </c>
      <c r="D759" t="s">
        <v>121</v>
      </c>
      <c r="E759" t="s">
        <v>12</v>
      </c>
      <c r="F759">
        <v>27699000000</v>
      </c>
      <c r="G759" s="1">
        <v>44465</v>
      </c>
      <c r="H759" t="s">
        <v>13</v>
      </c>
      <c r="I759" t="s">
        <v>14</v>
      </c>
    </row>
    <row r="760" spans="1:9" x14ac:dyDescent="0.2">
      <c r="A760">
        <v>320193</v>
      </c>
      <c r="B760" t="s">
        <v>97</v>
      </c>
      <c r="C760" t="s">
        <v>120</v>
      </c>
      <c r="D760" t="s">
        <v>121</v>
      </c>
      <c r="E760" t="s">
        <v>12</v>
      </c>
      <c r="F760">
        <v>24658000000</v>
      </c>
      <c r="G760" s="1">
        <v>44829</v>
      </c>
      <c r="H760" t="s">
        <v>13</v>
      </c>
      <c r="I760" t="s">
        <v>14</v>
      </c>
    </row>
    <row r="761" spans="1:9" x14ac:dyDescent="0.2">
      <c r="A761">
        <v>320193</v>
      </c>
      <c r="B761" t="s">
        <v>97</v>
      </c>
      <c r="C761" t="s">
        <v>120</v>
      </c>
      <c r="D761" t="s">
        <v>121</v>
      </c>
      <c r="E761" t="s">
        <v>12</v>
      </c>
      <c r="F761">
        <v>24658000000</v>
      </c>
      <c r="G761" s="1">
        <v>44829</v>
      </c>
      <c r="H761" t="s">
        <v>13</v>
      </c>
      <c r="I761" t="s">
        <v>14</v>
      </c>
    </row>
    <row r="762" spans="1:9" x14ac:dyDescent="0.2">
      <c r="A762">
        <v>320193</v>
      </c>
      <c r="B762" t="s">
        <v>101</v>
      </c>
      <c r="C762" t="s">
        <v>120</v>
      </c>
      <c r="D762" t="s">
        <v>121</v>
      </c>
      <c r="E762" t="s">
        <v>12</v>
      </c>
      <c r="F762">
        <v>24658000000</v>
      </c>
      <c r="G762" s="1">
        <v>44829</v>
      </c>
      <c r="H762" t="s">
        <v>13</v>
      </c>
      <c r="I762" t="s">
        <v>14</v>
      </c>
    </row>
    <row r="763" spans="1:9" x14ac:dyDescent="0.2">
      <c r="A763">
        <v>320193</v>
      </c>
      <c r="B763" t="s">
        <v>101</v>
      </c>
      <c r="C763" t="s">
        <v>120</v>
      </c>
      <c r="D763" t="s">
        <v>121</v>
      </c>
      <c r="E763" t="s">
        <v>12</v>
      </c>
      <c r="F763">
        <v>24658000000</v>
      </c>
      <c r="G763" s="1">
        <v>44829</v>
      </c>
      <c r="H763" t="s">
        <v>13</v>
      </c>
      <c r="I763" t="s">
        <v>14</v>
      </c>
    </row>
    <row r="764" spans="1:9" x14ac:dyDescent="0.2">
      <c r="A764">
        <v>320193</v>
      </c>
      <c r="B764" t="s">
        <v>98</v>
      </c>
      <c r="C764" t="s">
        <v>120</v>
      </c>
      <c r="D764" t="s">
        <v>121</v>
      </c>
      <c r="E764" t="s">
        <v>12</v>
      </c>
      <c r="F764">
        <v>31590000000</v>
      </c>
      <c r="G764" s="1">
        <v>45200</v>
      </c>
      <c r="H764" t="s">
        <v>13</v>
      </c>
      <c r="I764" t="s">
        <v>14</v>
      </c>
    </row>
    <row r="765" spans="1:9" x14ac:dyDescent="0.2">
      <c r="A765">
        <v>320193</v>
      </c>
      <c r="B765" t="s">
        <v>98</v>
      </c>
      <c r="C765" t="s">
        <v>120</v>
      </c>
      <c r="D765" t="s">
        <v>121</v>
      </c>
      <c r="E765" t="s">
        <v>12</v>
      </c>
      <c r="F765">
        <v>31590000000</v>
      </c>
      <c r="G765" s="1">
        <v>45200</v>
      </c>
      <c r="H765" t="s">
        <v>13</v>
      </c>
      <c r="I765" t="s">
        <v>14</v>
      </c>
    </row>
    <row r="766" spans="1:9" x14ac:dyDescent="0.2">
      <c r="A766">
        <v>320193</v>
      </c>
      <c r="B766" t="s">
        <v>101</v>
      </c>
      <c r="C766" t="s">
        <v>120</v>
      </c>
      <c r="D766" t="s">
        <v>121</v>
      </c>
      <c r="E766" t="s">
        <v>12</v>
      </c>
      <c r="F766">
        <v>31590000000</v>
      </c>
      <c r="G766" s="1">
        <v>45200</v>
      </c>
      <c r="H766" t="s">
        <v>13</v>
      </c>
      <c r="I766" t="s">
        <v>14</v>
      </c>
    </row>
    <row r="767" spans="1:9" x14ac:dyDescent="0.2">
      <c r="A767">
        <v>320193</v>
      </c>
      <c r="B767" t="s">
        <v>101</v>
      </c>
      <c r="C767" t="s">
        <v>120</v>
      </c>
      <c r="D767" t="s">
        <v>121</v>
      </c>
      <c r="E767" t="s">
        <v>12</v>
      </c>
      <c r="F767">
        <v>31590000000</v>
      </c>
      <c r="G767" s="1">
        <v>45200</v>
      </c>
      <c r="H767" t="s">
        <v>13</v>
      </c>
      <c r="I767" t="s">
        <v>14</v>
      </c>
    </row>
    <row r="768" spans="1:9" x14ac:dyDescent="0.2">
      <c r="A768">
        <v>320193</v>
      </c>
      <c r="B768" t="s">
        <v>88</v>
      </c>
      <c r="C768" t="s">
        <v>120</v>
      </c>
      <c r="D768" t="s">
        <v>121</v>
      </c>
      <c r="E768" t="s">
        <v>12</v>
      </c>
      <c r="F768">
        <v>35228000000</v>
      </c>
      <c r="G768" s="1">
        <v>45564</v>
      </c>
      <c r="H768" t="s">
        <v>13</v>
      </c>
      <c r="I768" t="s">
        <v>14</v>
      </c>
    </row>
    <row r="769" spans="1:9" x14ac:dyDescent="0.2">
      <c r="A769">
        <v>320193</v>
      </c>
      <c r="B769" t="s">
        <v>88</v>
      </c>
      <c r="C769" t="s">
        <v>120</v>
      </c>
      <c r="D769" t="s">
        <v>121</v>
      </c>
      <c r="E769" t="s">
        <v>12</v>
      </c>
      <c r="F769">
        <v>35228000000</v>
      </c>
      <c r="G769" s="1">
        <v>45564</v>
      </c>
      <c r="H769" t="s">
        <v>13</v>
      </c>
      <c r="I769" t="s">
        <v>14</v>
      </c>
    </row>
    <row r="770" spans="1:9" x14ac:dyDescent="0.2">
      <c r="A770">
        <v>320193</v>
      </c>
      <c r="B770" t="s">
        <v>98</v>
      </c>
      <c r="C770" t="s">
        <v>120</v>
      </c>
      <c r="D770" t="s">
        <v>121</v>
      </c>
      <c r="E770" t="s">
        <v>12</v>
      </c>
      <c r="F770">
        <v>35228000000</v>
      </c>
      <c r="G770" s="1">
        <v>45564</v>
      </c>
      <c r="H770" t="s">
        <v>13</v>
      </c>
      <c r="I770" t="s">
        <v>14</v>
      </c>
    </row>
    <row r="771" spans="1:9" x14ac:dyDescent="0.2">
      <c r="A771">
        <v>320193</v>
      </c>
      <c r="B771" t="s">
        <v>98</v>
      </c>
      <c r="C771" t="s">
        <v>120</v>
      </c>
      <c r="D771" t="s">
        <v>121</v>
      </c>
      <c r="E771" t="s">
        <v>12</v>
      </c>
      <c r="F771">
        <v>35228000000</v>
      </c>
      <c r="G771" s="1">
        <v>45564</v>
      </c>
      <c r="H771" t="s">
        <v>13</v>
      </c>
      <c r="I771" t="s">
        <v>14</v>
      </c>
    </row>
    <row r="772" spans="1:9" x14ac:dyDescent="0.2">
      <c r="A772">
        <v>320193</v>
      </c>
      <c r="B772" t="s">
        <v>88</v>
      </c>
      <c r="C772" t="s">
        <v>120</v>
      </c>
      <c r="D772" t="s">
        <v>121</v>
      </c>
      <c r="E772" t="s">
        <v>12</v>
      </c>
      <c r="F772">
        <v>18763000000</v>
      </c>
      <c r="G772" s="1">
        <v>45928</v>
      </c>
      <c r="H772" t="s">
        <v>13</v>
      </c>
      <c r="I772" t="s">
        <v>14</v>
      </c>
    </row>
    <row r="773" spans="1:9" x14ac:dyDescent="0.2">
      <c r="A773">
        <v>320193</v>
      </c>
      <c r="B773" t="s">
        <v>88</v>
      </c>
      <c r="C773" t="s">
        <v>120</v>
      </c>
      <c r="D773" t="s">
        <v>121</v>
      </c>
      <c r="E773" t="s">
        <v>12</v>
      </c>
      <c r="F773">
        <v>18763000000</v>
      </c>
      <c r="G773" s="1">
        <v>45928</v>
      </c>
      <c r="H773" t="s">
        <v>13</v>
      </c>
      <c r="I773" t="s">
        <v>14</v>
      </c>
    </row>
    <row r="774" spans="1:9" x14ac:dyDescent="0.2">
      <c r="A774">
        <v>320193</v>
      </c>
      <c r="B774" t="s">
        <v>9</v>
      </c>
      <c r="C774" t="s">
        <v>122</v>
      </c>
      <c r="D774" t="s">
        <v>123</v>
      </c>
      <c r="E774" t="s">
        <v>12</v>
      </c>
      <c r="F774">
        <v>170799000000</v>
      </c>
      <c r="G774" s="1">
        <v>43373</v>
      </c>
      <c r="H774" t="s">
        <v>13</v>
      </c>
      <c r="I774" t="s">
        <v>14</v>
      </c>
    </row>
    <row r="775" spans="1:9" x14ac:dyDescent="0.2">
      <c r="A775">
        <v>320193</v>
      </c>
      <c r="B775" t="s">
        <v>9</v>
      </c>
      <c r="C775" t="s">
        <v>122</v>
      </c>
      <c r="D775" t="s">
        <v>123</v>
      </c>
      <c r="E775" t="s">
        <v>12</v>
      </c>
      <c r="F775">
        <v>170799000000</v>
      </c>
      <c r="G775" s="1">
        <v>43373</v>
      </c>
      <c r="H775" t="s">
        <v>13</v>
      </c>
      <c r="I775" t="s">
        <v>14</v>
      </c>
    </row>
    <row r="776" spans="1:9" x14ac:dyDescent="0.2">
      <c r="A776">
        <v>320193</v>
      </c>
      <c r="B776" t="s">
        <v>9</v>
      </c>
      <c r="C776" t="s">
        <v>122</v>
      </c>
      <c r="D776" t="s">
        <v>123</v>
      </c>
      <c r="E776" t="s">
        <v>12</v>
      </c>
      <c r="F776">
        <v>105341000000</v>
      </c>
      <c r="G776" s="1">
        <v>43737</v>
      </c>
      <c r="H776" t="s">
        <v>13</v>
      </c>
      <c r="I776" t="s">
        <v>14</v>
      </c>
    </row>
    <row r="777" spans="1:9" x14ac:dyDescent="0.2">
      <c r="A777">
        <v>320193</v>
      </c>
      <c r="B777" t="s">
        <v>9</v>
      </c>
      <c r="C777" t="s">
        <v>122</v>
      </c>
      <c r="D777" t="s">
        <v>123</v>
      </c>
      <c r="E777" t="s">
        <v>12</v>
      </c>
      <c r="F777">
        <v>105341000000</v>
      </c>
      <c r="G777" s="1">
        <v>43737</v>
      </c>
      <c r="H777" t="s">
        <v>13</v>
      </c>
      <c r="I777" t="s">
        <v>14</v>
      </c>
    </row>
    <row r="778" spans="1:9" x14ac:dyDescent="0.2">
      <c r="A778">
        <v>320193</v>
      </c>
      <c r="B778" t="s">
        <v>100</v>
      </c>
      <c r="C778" t="s">
        <v>122</v>
      </c>
      <c r="D778" t="s">
        <v>123</v>
      </c>
      <c r="E778" t="s">
        <v>12</v>
      </c>
      <c r="F778">
        <v>105341000000</v>
      </c>
      <c r="G778" s="1">
        <v>43737</v>
      </c>
      <c r="H778" t="s">
        <v>13</v>
      </c>
      <c r="I778" t="s">
        <v>14</v>
      </c>
    </row>
    <row r="779" spans="1:9" x14ac:dyDescent="0.2">
      <c r="A779">
        <v>320193</v>
      </c>
      <c r="B779" t="s">
        <v>100</v>
      </c>
      <c r="C779" t="s">
        <v>122</v>
      </c>
      <c r="D779" t="s">
        <v>123</v>
      </c>
      <c r="E779" t="s">
        <v>12</v>
      </c>
      <c r="F779">
        <v>105341000000</v>
      </c>
      <c r="G779" s="1">
        <v>43737</v>
      </c>
      <c r="H779" t="s">
        <v>13</v>
      </c>
      <c r="I779" t="s">
        <v>14</v>
      </c>
    </row>
    <row r="780" spans="1:9" x14ac:dyDescent="0.2">
      <c r="A780">
        <v>320193</v>
      </c>
      <c r="B780" t="s">
        <v>99</v>
      </c>
      <c r="C780" t="s">
        <v>122</v>
      </c>
      <c r="D780" t="s">
        <v>123</v>
      </c>
      <c r="E780" t="s">
        <v>12</v>
      </c>
      <c r="F780">
        <v>100887000000</v>
      </c>
      <c r="G780" s="1">
        <v>44101</v>
      </c>
      <c r="H780" t="s">
        <v>13</v>
      </c>
      <c r="I780" t="s">
        <v>14</v>
      </c>
    </row>
    <row r="781" spans="1:9" x14ac:dyDescent="0.2">
      <c r="A781">
        <v>320193</v>
      </c>
      <c r="B781" t="s">
        <v>99</v>
      </c>
      <c r="C781" t="s">
        <v>122</v>
      </c>
      <c r="D781" t="s">
        <v>123</v>
      </c>
      <c r="E781" t="s">
        <v>12</v>
      </c>
      <c r="F781">
        <v>100887000000</v>
      </c>
      <c r="G781" s="1">
        <v>44101</v>
      </c>
      <c r="H781" t="s">
        <v>13</v>
      </c>
      <c r="I781" t="s">
        <v>14</v>
      </c>
    </row>
    <row r="782" spans="1:9" x14ac:dyDescent="0.2">
      <c r="A782">
        <v>320193</v>
      </c>
      <c r="B782" t="s">
        <v>100</v>
      </c>
      <c r="C782" t="s">
        <v>122</v>
      </c>
      <c r="D782" t="s">
        <v>123</v>
      </c>
      <c r="E782" t="s">
        <v>12</v>
      </c>
      <c r="F782">
        <v>100887000000</v>
      </c>
      <c r="G782" s="1">
        <v>44101</v>
      </c>
      <c r="H782" t="s">
        <v>13</v>
      </c>
      <c r="I782" t="s">
        <v>14</v>
      </c>
    </row>
    <row r="783" spans="1:9" x14ac:dyDescent="0.2">
      <c r="A783">
        <v>320193</v>
      </c>
      <c r="B783" t="s">
        <v>100</v>
      </c>
      <c r="C783" t="s">
        <v>122</v>
      </c>
      <c r="D783" t="s">
        <v>123</v>
      </c>
      <c r="E783" t="s">
        <v>12</v>
      </c>
      <c r="F783">
        <v>100887000000</v>
      </c>
      <c r="G783" s="1">
        <v>44101</v>
      </c>
      <c r="H783" t="s">
        <v>13</v>
      </c>
      <c r="I783" t="s">
        <v>14</v>
      </c>
    </row>
    <row r="784" spans="1:9" x14ac:dyDescent="0.2">
      <c r="A784">
        <v>320193</v>
      </c>
      <c r="B784" t="s">
        <v>97</v>
      </c>
      <c r="C784" t="s">
        <v>122</v>
      </c>
      <c r="D784" t="s">
        <v>123</v>
      </c>
      <c r="E784" t="s">
        <v>12</v>
      </c>
      <c r="F784">
        <v>127877000000</v>
      </c>
      <c r="G784" s="1">
        <v>44465</v>
      </c>
      <c r="H784" t="s">
        <v>13</v>
      </c>
      <c r="I784" t="s">
        <v>14</v>
      </c>
    </row>
    <row r="785" spans="1:9" x14ac:dyDescent="0.2">
      <c r="A785">
        <v>320193</v>
      </c>
      <c r="B785" t="s">
        <v>97</v>
      </c>
      <c r="C785" t="s">
        <v>122</v>
      </c>
      <c r="D785" t="s">
        <v>123</v>
      </c>
      <c r="E785" t="s">
        <v>12</v>
      </c>
      <c r="F785">
        <v>127877000000</v>
      </c>
      <c r="G785" s="1">
        <v>44465</v>
      </c>
      <c r="H785" t="s">
        <v>13</v>
      </c>
      <c r="I785" t="s">
        <v>14</v>
      </c>
    </row>
    <row r="786" spans="1:9" x14ac:dyDescent="0.2">
      <c r="A786">
        <v>320193</v>
      </c>
      <c r="B786" t="s">
        <v>99</v>
      </c>
      <c r="C786" t="s">
        <v>122</v>
      </c>
      <c r="D786" t="s">
        <v>123</v>
      </c>
      <c r="E786" t="s">
        <v>12</v>
      </c>
      <c r="F786">
        <v>127877000000</v>
      </c>
      <c r="G786" s="1">
        <v>44465</v>
      </c>
      <c r="H786" t="s">
        <v>13</v>
      </c>
      <c r="I786" t="s">
        <v>14</v>
      </c>
    </row>
    <row r="787" spans="1:9" x14ac:dyDescent="0.2">
      <c r="A787">
        <v>320193</v>
      </c>
      <c r="B787" t="s">
        <v>99</v>
      </c>
      <c r="C787" t="s">
        <v>122</v>
      </c>
      <c r="D787" t="s">
        <v>123</v>
      </c>
      <c r="E787" t="s">
        <v>12</v>
      </c>
      <c r="F787">
        <v>127877000000</v>
      </c>
      <c r="G787" s="1">
        <v>44465</v>
      </c>
      <c r="H787" t="s">
        <v>13</v>
      </c>
      <c r="I787" t="s">
        <v>14</v>
      </c>
    </row>
    <row r="788" spans="1:9" x14ac:dyDescent="0.2">
      <c r="A788">
        <v>320193</v>
      </c>
      <c r="B788" t="s">
        <v>97</v>
      </c>
      <c r="C788" t="s">
        <v>122</v>
      </c>
      <c r="D788" t="s">
        <v>123</v>
      </c>
      <c r="E788" t="s">
        <v>12</v>
      </c>
      <c r="F788">
        <v>120805000000</v>
      </c>
      <c r="G788" s="1">
        <v>44829</v>
      </c>
      <c r="H788" t="s">
        <v>13</v>
      </c>
      <c r="I788" t="s">
        <v>14</v>
      </c>
    </row>
    <row r="789" spans="1:9" x14ac:dyDescent="0.2">
      <c r="A789">
        <v>320193</v>
      </c>
      <c r="B789" t="s">
        <v>97</v>
      </c>
      <c r="C789" t="s">
        <v>122</v>
      </c>
      <c r="D789" t="s">
        <v>123</v>
      </c>
      <c r="E789" t="s">
        <v>12</v>
      </c>
      <c r="F789">
        <v>120805000000</v>
      </c>
      <c r="G789" s="1">
        <v>44829</v>
      </c>
      <c r="H789" t="s">
        <v>13</v>
      </c>
      <c r="I789" t="s">
        <v>14</v>
      </c>
    </row>
    <row r="790" spans="1:9" x14ac:dyDescent="0.2">
      <c r="A790">
        <v>320193</v>
      </c>
      <c r="B790" t="s">
        <v>101</v>
      </c>
      <c r="C790" t="s">
        <v>122</v>
      </c>
      <c r="D790" t="s">
        <v>123</v>
      </c>
      <c r="E790" t="s">
        <v>12</v>
      </c>
      <c r="F790">
        <v>120805000000</v>
      </c>
      <c r="G790" s="1">
        <v>44829</v>
      </c>
      <c r="H790" t="s">
        <v>13</v>
      </c>
      <c r="I790" t="s">
        <v>14</v>
      </c>
    </row>
    <row r="791" spans="1:9" x14ac:dyDescent="0.2">
      <c r="A791">
        <v>320193</v>
      </c>
      <c r="B791" t="s">
        <v>101</v>
      </c>
      <c r="C791" t="s">
        <v>122</v>
      </c>
      <c r="D791" t="s">
        <v>123</v>
      </c>
      <c r="E791" t="s">
        <v>12</v>
      </c>
      <c r="F791">
        <v>120805000000</v>
      </c>
      <c r="G791" s="1">
        <v>44829</v>
      </c>
      <c r="H791" t="s">
        <v>13</v>
      </c>
      <c r="I791" t="s">
        <v>14</v>
      </c>
    </row>
    <row r="792" spans="1:9" x14ac:dyDescent="0.2">
      <c r="A792">
        <v>320193</v>
      </c>
      <c r="B792" t="s">
        <v>98</v>
      </c>
      <c r="C792" t="s">
        <v>122</v>
      </c>
      <c r="D792" t="s">
        <v>123</v>
      </c>
      <c r="E792" t="s">
        <v>12</v>
      </c>
      <c r="F792">
        <v>100544000000</v>
      </c>
      <c r="G792" s="1">
        <v>45200</v>
      </c>
      <c r="H792" t="s">
        <v>13</v>
      </c>
      <c r="I792" t="s">
        <v>14</v>
      </c>
    </row>
    <row r="793" spans="1:9" x14ac:dyDescent="0.2">
      <c r="A793">
        <v>320193</v>
      </c>
      <c r="B793" t="s">
        <v>98</v>
      </c>
      <c r="C793" t="s">
        <v>122</v>
      </c>
      <c r="D793" t="s">
        <v>123</v>
      </c>
      <c r="E793" t="s">
        <v>12</v>
      </c>
      <c r="F793">
        <v>100544000000</v>
      </c>
      <c r="G793" s="1">
        <v>45200</v>
      </c>
      <c r="H793" t="s">
        <v>13</v>
      </c>
      <c r="I793" t="s">
        <v>14</v>
      </c>
    </row>
    <row r="794" spans="1:9" x14ac:dyDescent="0.2">
      <c r="A794">
        <v>320193</v>
      </c>
      <c r="B794" t="s">
        <v>101</v>
      </c>
      <c r="C794" t="s">
        <v>122</v>
      </c>
      <c r="D794" t="s">
        <v>123</v>
      </c>
      <c r="E794" t="s">
        <v>12</v>
      </c>
      <c r="F794">
        <v>100544000000</v>
      </c>
      <c r="G794" s="1">
        <v>45200</v>
      </c>
      <c r="H794" t="s">
        <v>13</v>
      </c>
      <c r="I794" t="s">
        <v>14</v>
      </c>
    </row>
    <row r="795" spans="1:9" x14ac:dyDescent="0.2">
      <c r="A795">
        <v>320193</v>
      </c>
      <c r="B795" t="s">
        <v>101</v>
      </c>
      <c r="C795" t="s">
        <v>122</v>
      </c>
      <c r="D795" t="s">
        <v>123</v>
      </c>
      <c r="E795" t="s">
        <v>12</v>
      </c>
      <c r="F795">
        <v>100544000000</v>
      </c>
      <c r="G795" s="1">
        <v>45200</v>
      </c>
      <c r="H795" t="s">
        <v>13</v>
      </c>
      <c r="I795" t="s">
        <v>14</v>
      </c>
    </row>
    <row r="796" spans="1:9" x14ac:dyDescent="0.2">
      <c r="A796">
        <v>320193</v>
      </c>
      <c r="B796" t="s">
        <v>88</v>
      </c>
      <c r="C796" t="s">
        <v>122</v>
      </c>
      <c r="D796" t="s">
        <v>123</v>
      </c>
      <c r="E796" t="s">
        <v>12</v>
      </c>
      <c r="F796">
        <v>91479000000</v>
      </c>
      <c r="G796" s="1">
        <v>45564</v>
      </c>
      <c r="H796" t="s">
        <v>13</v>
      </c>
      <c r="I796" t="s">
        <v>14</v>
      </c>
    </row>
    <row r="797" spans="1:9" x14ac:dyDescent="0.2">
      <c r="A797">
        <v>320193</v>
      </c>
      <c r="B797" t="s">
        <v>88</v>
      </c>
      <c r="C797" t="s">
        <v>122</v>
      </c>
      <c r="D797" t="s">
        <v>123</v>
      </c>
      <c r="E797" t="s">
        <v>12</v>
      </c>
      <c r="F797">
        <v>91479000000</v>
      </c>
      <c r="G797" s="1">
        <v>45564</v>
      </c>
      <c r="H797" t="s">
        <v>13</v>
      </c>
      <c r="I797" t="s">
        <v>14</v>
      </c>
    </row>
    <row r="798" spans="1:9" x14ac:dyDescent="0.2">
      <c r="A798">
        <v>320193</v>
      </c>
      <c r="B798" t="s">
        <v>98</v>
      </c>
      <c r="C798" t="s">
        <v>122</v>
      </c>
      <c r="D798" t="s">
        <v>123</v>
      </c>
      <c r="E798" t="s">
        <v>12</v>
      </c>
      <c r="F798">
        <v>91479000000</v>
      </c>
      <c r="G798" s="1">
        <v>45564</v>
      </c>
      <c r="H798" t="s">
        <v>13</v>
      </c>
      <c r="I798" t="s">
        <v>14</v>
      </c>
    </row>
    <row r="799" spans="1:9" x14ac:dyDescent="0.2">
      <c r="A799">
        <v>320193</v>
      </c>
      <c r="B799" t="s">
        <v>98</v>
      </c>
      <c r="C799" t="s">
        <v>122</v>
      </c>
      <c r="D799" t="s">
        <v>123</v>
      </c>
      <c r="E799" t="s">
        <v>12</v>
      </c>
      <c r="F799">
        <v>91479000000</v>
      </c>
      <c r="G799" s="1">
        <v>45564</v>
      </c>
      <c r="H799" t="s">
        <v>13</v>
      </c>
      <c r="I799" t="s">
        <v>14</v>
      </c>
    </row>
    <row r="800" spans="1:9" x14ac:dyDescent="0.2">
      <c r="A800">
        <v>320193</v>
      </c>
      <c r="B800" t="s">
        <v>88</v>
      </c>
      <c r="C800" t="s">
        <v>122</v>
      </c>
      <c r="D800" t="s">
        <v>123</v>
      </c>
      <c r="E800" t="s">
        <v>12</v>
      </c>
      <c r="F800">
        <v>77723000000</v>
      </c>
      <c r="G800" s="1">
        <v>45928</v>
      </c>
      <c r="H800" t="s">
        <v>13</v>
      </c>
      <c r="I800" t="s">
        <v>14</v>
      </c>
    </row>
    <row r="801" spans="1:9" x14ac:dyDescent="0.2">
      <c r="A801">
        <v>320193</v>
      </c>
      <c r="B801" t="s">
        <v>88</v>
      </c>
      <c r="C801" t="s">
        <v>122</v>
      </c>
      <c r="D801" t="s">
        <v>123</v>
      </c>
      <c r="E801" t="s">
        <v>12</v>
      </c>
      <c r="F801">
        <v>77723000000</v>
      </c>
      <c r="G801" s="1">
        <v>45928</v>
      </c>
      <c r="H801" t="s">
        <v>13</v>
      </c>
      <c r="I801" t="s">
        <v>14</v>
      </c>
    </row>
    <row r="802" spans="1:9" x14ac:dyDescent="0.2">
      <c r="A802">
        <v>320193</v>
      </c>
      <c r="B802" t="s">
        <v>9</v>
      </c>
      <c r="C802" t="s">
        <v>28</v>
      </c>
      <c r="D802" t="s">
        <v>29</v>
      </c>
      <c r="E802" t="s">
        <v>12</v>
      </c>
      <c r="F802">
        <v>48351000000</v>
      </c>
      <c r="G802" s="1">
        <v>43009</v>
      </c>
      <c r="H802" t="s">
        <v>13</v>
      </c>
      <c r="I802" t="s">
        <v>14</v>
      </c>
    </row>
    <row r="803" spans="1:9" x14ac:dyDescent="0.2">
      <c r="A803">
        <v>320193</v>
      </c>
      <c r="B803" t="s">
        <v>9</v>
      </c>
      <c r="C803" t="s">
        <v>28</v>
      </c>
      <c r="D803" t="s">
        <v>29</v>
      </c>
      <c r="E803" t="s">
        <v>12</v>
      </c>
      <c r="F803">
        <v>48351000000</v>
      </c>
      <c r="G803" s="1">
        <v>43009</v>
      </c>
      <c r="H803" t="s">
        <v>13</v>
      </c>
      <c r="I803" t="s">
        <v>14</v>
      </c>
    </row>
    <row r="804" spans="1:9" x14ac:dyDescent="0.2">
      <c r="A804">
        <v>320193</v>
      </c>
      <c r="B804" t="s">
        <v>9</v>
      </c>
      <c r="C804" t="s">
        <v>28</v>
      </c>
      <c r="D804" t="s">
        <v>29</v>
      </c>
      <c r="E804" t="s">
        <v>12</v>
      </c>
      <c r="F804">
        <v>48351000000</v>
      </c>
      <c r="G804" s="1">
        <v>43009</v>
      </c>
      <c r="H804" t="s">
        <v>13</v>
      </c>
      <c r="I804" t="s">
        <v>14</v>
      </c>
    </row>
    <row r="805" spans="1:9" x14ac:dyDescent="0.2">
      <c r="A805">
        <v>320193</v>
      </c>
      <c r="B805" t="s">
        <v>9</v>
      </c>
      <c r="C805" t="s">
        <v>28</v>
      </c>
      <c r="D805" t="s">
        <v>29</v>
      </c>
      <c r="E805" t="s">
        <v>12</v>
      </c>
      <c r="F805">
        <v>48351000000</v>
      </c>
      <c r="G805" s="1">
        <v>43009</v>
      </c>
      <c r="H805" t="s">
        <v>13</v>
      </c>
      <c r="I805" t="s">
        <v>14</v>
      </c>
    </row>
    <row r="806" spans="1:9" x14ac:dyDescent="0.2">
      <c r="A806">
        <v>320193</v>
      </c>
      <c r="B806" t="s">
        <v>9</v>
      </c>
      <c r="C806" t="s">
        <v>28</v>
      </c>
      <c r="D806" t="s">
        <v>29</v>
      </c>
      <c r="E806" t="s">
        <v>12</v>
      </c>
      <c r="F806">
        <v>20065000000</v>
      </c>
      <c r="G806" s="1">
        <v>43100</v>
      </c>
      <c r="H806" t="s">
        <v>13</v>
      </c>
      <c r="I806" t="s">
        <v>14</v>
      </c>
    </row>
    <row r="807" spans="1:9" x14ac:dyDescent="0.2">
      <c r="A807">
        <v>320193</v>
      </c>
      <c r="B807" t="s">
        <v>9</v>
      </c>
      <c r="C807" t="s">
        <v>28</v>
      </c>
      <c r="D807" t="s">
        <v>29</v>
      </c>
      <c r="E807" t="s">
        <v>12</v>
      </c>
      <c r="F807">
        <v>13822000000</v>
      </c>
      <c r="G807" s="1">
        <v>43191</v>
      </c>
      <c r="H807" t="s">
        <v>13</v>
      </c>
      <c r="I807" t="s">
        <v>14</v>
      </c>
    </row>
    <row r="808" spans="1:9" x14ac:dyDescent="0.2">
      <c r="A808">
        <v>320193</v>
      </c>
      <c r="B808" t="s">
        <v>9</v>
      </c>
      <c r="C808" t="s">
        <v>28</v>
      </c>
      <c r="D808" t="s">
        <v>29</v>
      </c>
      <c r="E808" t="s">
        <v>12</v>
      </c>
      <c r="F808">
        <v>11519000000</v>
      </c>
      <c r="G808" s="1">
        <v>43282</v>
      </c>
      <c r="H808" t="s">
        <v>13</v>
      </c>
      <c r="I808" t="s">
        <v>14</v>
      </c>
    </row>
    <row r="809" spans="1:9" x14ac:dyDescent="0.2">
      <c r="A809">
        <v>320193</v>
      </c>
      <c r="B809" t="s">
        <v>9</v>
      </c>
      <c r="C809" t="s">
        <v>28</v>
      </c>
      <c r="D809" t="s">
        <v>29</v>
      </c>
      <c r="E809" t="s">
        <v>12</v>
      </c>
      <c r="F809">
        <v>59531000000</v>
      </c>
      <c r="G809" s="1">
        <v>43373</v>
      </c>
      <c r="H809" t="s">
        <v>13</v>
      </c>
      <c r="I809" t="s">
        <v>14</v>
      </c>
    </row>
    <row r="810" spans="1:9" x14ac:dyDescent="0.2">
      <c r="A810">
        <v>320193</v>
      </c>
      <c r="B810" t="s">
        <v>9</v>
      </c>
      <c r="C810" t="s">
        <v>28</v>
      </c>
      <c r="D810" t="s">
        <v>29</v>
      </c>
      <c r="E810" t="s">
        <v>12</v>
      </c>
      <c r="F810">
        <v>59531000000</v>
      </c>
      <c r="G810" s="1">
        <v>43373</v>
      </c>
      <c r="H810" t="s">
        <v>13</v>
      </c>
      <c r="I810" t="s">
        <v>14</v>
      </c>
    </row>
    <row r="811" spans="1:9" x14ac:dyDescent="0.2">
      <c r="A811">
        <v>320193</v>
      </c>
      <c r="B811" t="s">
        <v>9</v>
      </c>
      <c r="C811" t="s">
        <v>28</v>
      </c>
      <c r="D811" t="s">
        <v>29</v>
      </c>
      <c r="E811" t="s">
        <v>12</v>
      </c>
      <c r="F811">
        <v>59531000000</v>
      </c>
      <c r="G811" s="1">
        <v>43373</v>
      </c>
      <c r="H811" t="s">
        <v>13</v>
      </c>
      <c r="I811" t="s">
        <v>14</v>
      </c>
    </row>
    <row r="812" spans="1:9" x14ac:dyDescent="0.2">
      <c r="A812">
        <v>320193</v>
      </c>
      <c r="B812" t="s">
        <v>9</v>
      </c>
      <c r="C812" t="s">
        <v>28</v>
      </c>
      <c r="D812" t="s">
        <v>29</v>
      </c>
      <c r="E812" t="s">
        <v>12</v>
      </c>
      <c r="F812">
        <v>59531000000</v>
      </c>
      <c r="G812" s="1">
        <v>43373</v>
      </c>
      <c r="H812" t="s">
        <v>13</v>
      </c>
      <c r="I812" t="s">
        <v>14</v>
      </c>
    </row>
    <row r="813" spans="1:9" x14ac:dyDescent="0.2">
      <c r="A813">
        <v>320193</v>
      </c>
      <c r="B813" t="s">
        <v>9</v>
      </c>
      <c r="C813" t="s">
        <v>28</v>
      </c>
      <c r="D813" t="s">
        <v>29</v>
      </c>
      <c r="E813" t="s">
        <v>12</v>
      </c>
      <c r="F813">
        <v>14125000000</v>
      </c>
      <c r="G813" s="1">
        <v>43373</v>
      </c>
      <c r="H813" t="s">
        <v>13</v>
      </c>
      <c r="I813" t="s">
        <v>14</v>
      </c>
    </row>
    <row r="814" spans="1:9" x14ac:dyDescent="0.2">
      <c r="A814">
        <v>320193</v>
      </c>
      <c r="B814" t="s">
        <v>100</v>
      </c>
      <c r="C814" t="s">
        <v>28</v>
      </c>
      <c r="D814" t="s">
        <v>29</v>
      </c>
      <c r="E814" t="s">
        <v>12</v>
      </c>
      <c r="F814">
        <v>59531000000</v>
      </c>
      <c r="G814" s="1">
        <v>43373</v>
      </c>
      <c r="H814" t="s">
        <v>13</v>
      </c>
      <c r="I814" t="s">
        <v>14</v>
      </c>
    </row>
    <row r="815" spans="1:9" x14ac:dyDescent="0.2">
      <c r="A815">
        <v>320193</v>
      </c>
      <c r="B815" t="s">
        <v>100</v>
      </c>
      <c r="C815" t="s">
        <v>28</v>
      </c>
      <c r="D815" t="s">
        <v>29</v>
      </c>
      <c r="E815" t="s">
        <v>12</v>
      </c>
      <c r="F815">
        <v>59531000000</v>
      </c>
      <c r="G815" s="1">
        <v>43373</v>
      </c>
      <c r="H815" t="s">
        <v>13</v>
      </c>
      <c r="I815" t="s">
        <v>14</v>
      </c>
    </row>
    <row r="816" spans="1:9" x14ac:dyDescent="0.2">
      <c r="A816">
        <v>320193</v>
      </c>
      <c r="B816" t="s">
        <v>100</v>
      </c>
      <c r="C816" t="s">
        <v>28</v>
      </c>
      <c r="D816" t="s">
        <v>29</v>
      </c>
      <c r="E816" t="s">
        <v>12</v>
      </c>
      <c r="F816">
        <v>59531000000</v>
      </c>
      <c r="G816" s="1">
        <v>43373</v>
      </c>
      <c r="H816" t="s">
        <v>13</v>
      </c>
      <c r="I816" t="s">
        <v>14</v>
      </c>
    </row>
    <row r="817" spans="1:9" x14ac:dyDescent="0.2">
      <c r="A817">
        <v>320193</v>
      </c>
      <c r="B817" t="s">
        <v>100</v>
      </c>
      <c r="C817" t="s">
        <v>28</v>
      </c>
      <c r="D817" t="s">
        <v>29</v>
      </c>
      <c r="E817" t="s">
        <v>12</v>
      </c>
      <c r="F817">
        <v>59531000000</v>
      </c>
      <c r="G817" s="1">
        <v>43373</v>
      </c>
      <c r="H817" t="s">
        <v>13</v>
      </c>
      <c r="I817" t="s">
        <v>14</v>
      </c>
    </row>
    <row r="818" spans="1:9" x14ac:dyDescent="0.2">
      <c r="A818">
        <v>320193</v>
      </c>
      <c r="B818" t="s">
        <v>9</v>
      </c>
      <c r="C818" t="s">
        <v>28</v>
      </c>
      <c r="D818" t="s">
        <v>29</v>
      </c>
      <c r="E818" t="s">
        <v>12</v>
      </c>
      <c r="F818">
        <v>19965000000</v>
      </c>
      <c r="G818" s="1">
        <v>43464</v>
      </c>
      <c r="H818" t="s">
        <v>13</v>
      </c>
      <c r="I818" t="s">
        <v>14</v>
      </c>
    </row>
    <row r="819" spans="1:9" x14ac:dyDescent="0.2">
      <c r="A819">
        <v>320193</v>
      </c>
      <c r="B819" t="s">
        <v>100</v>
      </c>
      <c r="C819" t="s">
        <v>28</v>
      </c>
      <c r="D819" t="s">
        <v>29</v>
      </c>
      <c r="E819" t="s">
        <v>12</v>
      </c>
      <c r="F819">
        <v>19965000000</v>
      </c>
      <c r="G819" s="1">
        <v>43464</v>
      </c>
      <c r="H819" t="s">
        <v>13</v>
      </c>
      <c r="I819" t="s">
        <v>14</v>
      </c>
    </row>
    <row r="820" spans="1:9" x14ac:dyDescent="0.2">
      <c r="A820">
        <v>320193</v>
      </c>
      <c r="B820" t="s">
        <v>9</v>
      </c>
      <c r="C820" t="s">
        <v>28</v>
      </c>
      <c r="D820" t="s">
        <v>29</v>
      </c>
      <c r="E820" t="s">
        <v>12</v>
      </c>
      <c r="F820">
        <v>11561000000</v>
      </c>
      <c r="G820" s="1">
        <v>43555</v>
      </c>
      <c r="H820" t="s">
        <v>13</v>
      </c>
      <c r="I820" t="s">
        <v>14</v>
      </c>
    </row>
    <row r="821" spans="1:9" x14ac:dyDescent="0.2">
      <c r="A821">
        <v>320193</v>
      </c>
      <c r="B821" t="s">
        <v>100</v>
      </c>
      <c r="C821" t="s">
        <v>28</v>
      </c>
      <c r="D821" t="s">
        <v>29</v>
      </c>
      <c r="E821" t="s">
        <v>12</v>
      </c>
      <c r="F821">
        <v>11561000000</v>
      </c>
      <c r="G821" s="1">
        <v>43555</v>
      </c>
      <c r="H821" t="s">
        <v>13</v>
      </c>
      <c r="I821" t="s">
        <v>14</v>
      </c>
    </row>
    <row r="822" spans="1:9" x14ac:dyDescent="0.2">
      <c r="A822">
        <v>320193</v>
      </c>
      <c r="B822" t="s">
        <v>9</v>
      </c>
      <c r="C822" t="s">
        <v>28</v>
      </c>
      <c r="D822" t="s">
        <v>29</v>
      </c>
      <c r="E822" t="s">
        <v>12</v>
      </c>
      <c r="F822">
        <v>10044000000</v>
      </c>
      <c r="G822" s="1">
        <v>43646</v>
      </c>
      <c r="H822" t="s">
        <v>13</v>
      </c>
      <c r="I822" t="s">
        <v>14</v>
      </c>
    </row>
    <row r="823" spans="1:9" x14ac:dyDescent="0.2">
      <c r="A823">
        <v>320193</v>
      </c>
      <c r="B823" t="s">
        <v>100</v>
      </c>
      <c r="C823" t="s">
        <v>28</v>
      </c>
      <c r="D823" t="s">
        <v>29</v>
      </c>
      <c r="E823" t="s">
        <v>12</v>
      </c>
      <c r="F823">
        <v>10044000000</v>
      </c>
      <c r="G823" s="1">
        <v>43646</v>
      </c>
      <c r="H823" t="s">
        <v>13</v>
      </c>
      <c r="I823" t="s">
        <v>14</v>
      </c>
    </row>
    <row r="824" spans="1:9" x14ac:dyDescent="0.2">
      <c r="A824">
        <v>320193</v>
      </c>
      <c r="B824" t="s">
        <v>9</v>
      </c>
      <c r="C824" t="s">
        <v>28</v>
      </c>
      <c r="D824" t="s">
        <v>29</v>
      </c>
      <c r="E824" t="s">
        <v>12</v>
      </c>
      <c r="F824">
        <v>55256000000</v>
      </c>
      <c r="G824" s="1">
        <v>43737</v>
      </c>
      <c r="H824" t="s">
        <v>13</v>
      </c>
      <c r="I824" t="s">
        <v>14</v>
      </c>
    </row>
    <row r="825" spans="1:9" x14ac:dyDescent="0.2">
      <c r="A825">
        <v>320193</v>
      </c>
      <c r="B825" t="s">
        <v>9</v>
      </c>
      <c r="C825" t="s">
        <v>28</v>
      </c>
      <c r="D825" t="s">
        <v>29</v>
      </c>
      <c r="E825" t="s">
        <v>12</v>
      </c>
      <c r="F825">
        <v>55256000000</v>
      </c>
      <c r="G825" s="1">
        <v>43737</v>
      </c>
      <c r="H825" t="s">
        <v>13</v>
      </c>
      <c r="I825" t="s">
        <v>14</v>
      </c>
    </row>
    <row r="826" spans="1:9" x14ac:dyDescent="0.2">
      <c r="A826">
        <v>320193</v>
      </c>
      <c r="B826" t="s">
        <v>9</v>
      </c>
      <c r="C826" t="s">
        <v>28</v>
      </c>
      <c r="D826" t="s">
        <v>29</v>
      </c>
      <c r="E826" t="s">
        <v>12</v>
      </c>
      <c r="F826">
        <v>55256000000</v>
      </c>
      <c r="G826" s="1">
        <v>43737</v>
      </c>
      <c r="H826" t="s">
        <v>13</v>
      </c>
      <c r="I826" t="s">
        <v>14</v>
      </c>
    </row>
    <row r="827" spans="1:9" x14ac:dyDescent="0.2">
      <c r="A827">
        <v>320193</v>
      </c>
      <c r="B827" t="s">
        <v>9</v>
      </c>
      <c r="C827" t="s">
        <v>28</v>
      </c>
      <c r="D827" t="s">
        <v>29</v>
      </c>
      <c r="E827" t="s">
        <v>12</v>
      </c>
      <c r="F827">
        <v>55256000000</v>
      </c>
      <c r="G827" s="1">
        <v>43737</v>
      </c>
      <c r="H827" t="s">
        <v>13</v>
      </c>
      <c r="I827" t="s">
        <v>14</v>
      </c>
    </row>
    <row r="828" spans="1:9" x14ac:dyDescent="0.2">
      <c r="A828">
        <v>320193</v>
      </c>
      <c r="B828" t="s">
        <v>9</v>
      </c>
      <c r="C828" t="s">
        <v>28</v>
      </c>
      <c r="D828" t="s">
        <v>29</v>
      </c>
      <c r="E828" t="s">
        <v>12</v>
      </c>
      <c r="F828">
        <v>13686000000</v>
      </c>
      <c r="G828" s="1">
        <v>43737</v>
      </c>
      <c r="H828" t="s">
        <v>13</v>
      </c>
      <c r="I828" t="s">
        <v>14</v>
      </c>
    </row>
    <row r="829" spans="1:9" x14ac:dyDescent="0.2">
      <c r="A829">
        <v>320193</v>
      </c>
      <c r="B829" t="s">
        <v>99</v>
      </c>
      <c r="C829" t="s">
        <v>28</v>
      </c>
      <c r="D829" t="s">
        <v>29</v>
      </c>
      <c r="E829" t="s">
        <v>12</v>
      </c>
      <c r="F829">
        <v>55256000000</v>
      </c>
      <c r="G829" s="1">
        <v>43737</v>
      </c>
      <c r="H829" t="s">
        <v>13</v>
      </c>
      <c r="I829" t="s">
        <v>14</v>
      </c>
    </row>
    <row r="830" spans="1:9" x14ac:dyDescent="0.2">
      <c r="A830">
        <v>320193</v>
      </c>
      <c r="B830" t="s">
        <v>99</v>
      </c>
      <c r="C830" t="s">
        <v>28</v>
      </c>
      <c r="D830" t="s">
        <v>29</v>
      </c>
      <c r="E830" t="s">
        <v>12</v>
      </c>
      <c r="F830">
        <v>55256000000</v>
      </c>
      <c r="G830" s="1">
        <v>43737</v>
      </c>
      <c r="H830" t="s">
        <v>13</v>
      </c>
      <c r="I830" t="s">
        <v>14</v>
      </c>
    </row>
    <row r="831" spans="1:9" x14ac:dyDescent="0.2">
      <c r="A831">
        <v>320193</v>
      </c>
      <c r="B831" t="s">
        <v>99</v>
      </c>
      <c r="C831" t="s">
        <v>28</v>
      </c>
      <c r="D831" t="s">
        <v>29</v>
      </c>
      <c r="E831" t="s">
        <v>12</v>
      </c>
      <c r="F831">
        <v>55256000000</v>
      </c>
      <c r="G831" s="1">
        <v>43737</v>
      </c>
      <c r="H831" t="s">
        <v>13</v>
      </c>
      <c r="I831" t="s">
        <v>14</v>
      </c>
    </row>
    <row r="832" spans="1:9" x14ac:dyDescent="0.2">
      <c r="A832">
        <v>320193</v>
      </c>
      <c r="B832" t="s">
        <v>99</v>
      </c>
      <c r="C832" t="s">
        <v>28</v>
      </c>
      <c r="D832" t="s">
        <v>29</v>
      </c>
      <c r="E832" t="s">
        <v>12</v>
      </c>
      <c r="F832">
        <v>55256000000</v>
      </c>
      <c r="G832" s="1">
        <v>43737</v>
      </c>
      <c r="H832" t="s">
        <v>13</v>
      </c>
      <c r="I832" t="s">
        <v>14</v>
      </c>
    </row>
    <row r="833" spans="1:9" x14ac:dyDescent="0.2">
      <c r="A833">
        <v>320193</v>
      </c>
      <c r="B833" t="s">
        <v>100</v>
      </c>
      <c r="C833" t="s">
        <v>28</v>
      </c>
      <c r="D833" t="s">
        <v>29</v>
      </c>
      <c r="E833" t="s">
        <v>12</v>
      </c>
      <c r="F833">
        <v>55256000000</v>
      </c>
      <c r="G833" s="1">
        <v>43737</v>
      </c>
      <c r="H833" t="s">
        <v>13</v>
      </c>
      <c r="I833" t="s">
        <v>14</v>
      </c>
    </row>
    <row r="834" spans="1:9" x14ac:dyDescent="0.2">
      <c r="A834">
        <v>320193</v>
      </c>
      <c r="B834" t="s">
        <v>100</v>
      </c>
      <c r="C834" t="s">
        <v>28</v>
      </c>
      <c r="D834" t="s">
        <v>29</v>
      </c>
      <c r="E834" t="s">
        <v>12</v>
      </c>
      <c r="F834">
        <v>55256000000</v>
      </c>
      <c r="G834" s="1">
        <v>43737</v>
      </c>
      <c r="H834" t="s">
        <v>13</v>
      </c>
      <c r="I834" t="s">
        <v>14</v>
      </c>
    </row>
    <row r="835" spans="1:9" x14ac:dyDescent="0.2">
      <c r="A835">
        <v>320193</v>
      </c>
      <c r="B835" t="s">
        <v>100</v>
      </c>
      <c r="C835" t="s">
        <v>28</v>
      </c>
      <c r="D835" t="s">
        <v>29</v>
      </c>
      <c r="E835" t="s">
        <v>12</v>
      </c>
      <c r="F835">
        <v>55256000000</v>
      </c>
      <c r="G835" s="1">
        <v>43737</v>
      </c>
      <c r="H835" t="s">
        <v>13</v>
      </c>
      <c r="I835" t="s">
        <v>14</v>
      </c>
    </row>
    <row r="836" spans="1:9" x14ac:dyDescent="0.2">
      <c r="A836">
        <v>320193</v>
      </c>
      <c r="B836" t="s">
        <v>100</v>
      </c>
      <c r="C836" t="s">
        <v>28</v>
      </c>
      <c r="D836" t="s">
        <v>29</v>
      </c>
      <c r="E836" t="s">
        <v>12</v>
      </c>
      <c r="F836">
        <v>55256000000</v>
      </c>
      <c r="G836" s="1">
        <v>43737</v>
      </c>
      <c r="H836" t="s">
        <v>13</v>
      </c>
      <c r="I836" t="s">
        <v>14</v>
      </c>
    </row>
    <row r="837" spans="1:9" x14ac:dyDescent="0.2">
      <c r="A837">
        <v>320193</v>
      </c>
      <c r="B837" t="s">
        <v>100</v>
      </c>
      <c r="C837" t="s">
        <v>28</v>
      </c>
      <c r="D837" t="s">
        <v>29</v>
      </c>
      <c r="E837" t="s">
        <v>12</v>
      </c>
      <c r="F837">
        <v>13686000000</v>
      </c>
      <c r="G837" s="1">
        <v>43737</v>
      </c>
      <c r="H837" t="s">
        <v>13</v>
      </c>
      <c r="I837" t="s">
        <v>14</v>
      </c>
    </row>
    <row r="838" spans="1:9" x14ac:dyDescent="0.2">
      <c r="A838">
        <v>320193</v>
      </c>
      <c r="B838" t="s">
        <v>100</v>
      </c>
      <c r="C838" t="s">
        <v>28</v>
      </c>
      <c r="D838" t="s">
        <v>29</v>
      </c>
      <c r="E838" t="s">
        <v>12</v>
      </c>
      <c r="F838">
        <v>22236000000</v>
      </c>
      <c r="G838" s="1">
        <v>43828</v>
      </c>
      <c r="H838" t="s">
        <v>13</v>
      </c>
      <c r="I838" t="s">
        <v>14</v>
      </c>
    </row>
    <row r="839" spans="1:9" x14ac:dyDescent="0.2">
      <c r="A839">
        <v>320193</v>
      </c>
      <c r="B839" t="s">
        <v>100</v>
      </c>
      <c r="C839" t="s">
        <v>28</v>
      </c>
      <c r="D839" t="s">
        <v>29</v>
      </c>
      <c r="E839" t="s">
        <v>12</v>
      </c>
      <c r="F839">
        <v>11249000000</v>
      </c>
      <c r="G839" s="1">
        <v>43919</v>
      </c>
      <c r="H839" t="s">
        <v>13</v>
      </c>
      <c r="I839" t="s">
        <v>14</v>
      </c>
    </row>
    <row r="840" spans="1:9" x14ac:dyDescent="0.2">
      <c r="A840">
        <v>320193</v>
      </c>
      <c r="B840" t="s">
        <v>100</v>
      </c>
      <c r="C840" t="s">
        <v>28</v>
      </c>
      <c r="D840" t="s">
        <v>29</v>
      </c>
      <c r="E840" t="s">
        <v>12</v>
      </c>
      <c r="F840">
        <v>11253000000</v>
      </c>
      <c r="G840" s="1">
        <v>44010</v>
      </c>
      <c r="H840" t="s">
        <v>13</v>
      </c>
      <c r="I840" t="s">
        <v>14</v>
      </c>
    </row>
    <row r="841" spans="1:9" x14ac:dyDescent="0.2">
      <c r="A841">
        <v>320193</v>
      </c>
      <c r="B841" t="s">
        <v>97</v>
      </c>
      <c r="C841" t="s">
        <v>28</v>
      </c>
      <c r="D841" t="s">
        <v>29</v>
      </c>
      <c r="E841" t="s">
        <v>12</v>
      </c>
      <c r="F841">
        <v>57411000000</v>
      </c>
      <c r="G841" s="1">
        <v>44101</v>
      </c>
      <c r="H841" t="s">
        <v>13</v>
      </c>
      <c r="I841" t="s">
        <v>14</v>
      </c>
    </row>
    <row r="842" spans="1:9" x14ac:dyDescent="0.2">
      <c r="A842">
        <v>320193</v>
      </c>
      <c r="B842" t="s">
        <v>97</v>
      </c>
      <c r="C842" t="s">
        <v>28</v>
      </c>
      <c r="D842" t="s">
        <v>29</v>
      </c>
      <c r="E842" t="s">
        <v>12</v>
      </c>
      <c r="F842">
        <v>57411000000</v>
      </c>
      <c r="G842" s="1">
        <v>44101</v>
      </c>
      <c r="H842" t="s">
        <v>13</v>
      </c>
      <c r="I842" t="s">
        <v>14</v>
      </c>
    </row>
    <row r="843" spans="1:9" x14ac:dyDescent="0.2">
      <c r="A843">
        <v>320193</v>
      </c>
      <c r="B843" t="s">
        <v>97</v>
      </c>
      <c r="C843" t="s">
        <v>28</v>
      </c>
      <c r="D843" t="s">
        <v>29</v>
      </c>
      <c r="E843" t="s">
        <v>12</v>
      </c>
      <c r="F843">
        <v>57411000000</v>
      </c>
      <c r="G843" s="1">
        <v>44101</v>
      </c>
      <c r="H843" t="s">
        <v>13</v>
      </c>
      <c r="I843" t="s">
        <v>14</v>
      </c>
    </row>
    <row r="844" spans="1:9" x14ac:dyDescent="0.2">
      <c r="A844">
        <v>320193</v>
      </c>
      <c r="B844" t="s">
        <v>97</v>
      </c>
      <c r="C844" t="s">
        <v>28</v>
      </c>
      <c r="D844" t="s">
        <v>29</v>
      </c>
      <c r="E844" t="s">
        <v>12</v>
      </c>
      <c r="F844">
        <v>57411000000</v>
      </c>
      <c r="G844" s="1">
        <v>44101</v>
      </c>
      <c r="H844" t="s">
        <v>13</v>
      </c>
      <c r="I844" t="s">
        <v>14</v>
      </c>
    </row>
    <row r="845" spans="1:9" x14ac:dyDescent="0.2">
      <c r="A845">
        <v>320193</v>
      </c>
      <c r="B845" t="s">
        <v>99</v>
      </c>
      <c r="C845" t="s">
        <v>28</v>
      </c>
      <c r="D845" t="s">
        <v>29</v>
      </c>
      <c r="E845" t="s">
        <v>12</v>
      </c>
      <c r="F845">
        <v>57411000000</v>
      </c>
      <c r="G845" s="1">
        <v>44101</v>
      </c>
      <c r="H845" t="s">
        <v>13</v>
      </c>
      <c r="I845" t="s">
        <v>14</v>
      </c>
    </row>
    <row r="846" spans="1:9" x14ac:dyDescent="0.2">
      <c r="A846">
        <v>320193</v>
      </c>
      <c r="B846" t="s">
        <v>99</v>
      </c>
      <c r="C846" t="s">
        <v>28</v>
      </c>
      <c r="D846" t="s">
        <v>29</v>
      </c>
      <c r="E846" t="s">
        <v>12</v>
      </c>
      <c r="F846">
        <v>57411000000</v>
      </c>
      <c r="G846" s="1">
        <v>44101</v>
      </c>
      <c r="H846" t="s">
        <v>13</v>
      </c>
      <c r="I846" t="s">
        <v>14</v>
      </c>
    </row>
    <row r="847" spans="1:9" x14ac:dyDescent="0.2">
      <c r="A847">
        <v>320193</v>
      </c>
      <c r="B847" t="s">
        <v>99</v>
      </c>
      <c r="C847" t="s">
        <v>28</v>
      </c>
      <c r="D847" t="s">
        <v>29</v>
      </c>
      <c r="E847" t="s">
        <v>12</v>
      </c>
      <c r="F847">
        <v>57411000000</v>
      </c>
      <c r="G847" s="1">
        <v>44101</v>
      </c>
      <c r="H847" t="s">
        <v>13</v>
      </c>
      <c r="I847" t="s">
        <v>14</v>
      </c>
    </row>
    <row r="848" spans="1:9" x14ac:dyDescent="0.2">
      <c r="A848">
        <v>320193</v>
      </c>
      <c r="B848" t="s">
        <v>99</v>
      </c>
      <c r="C848" t="s">
        <v>28</v>
      </c>
      <c r="D848" t="s">
        <v>29</v>
      </c>
      <c r="E848" t="s">
        <v>12</v>
      </c>
      <c r="F848">
        <v>57411000000</v>
      </c>
      <c r="G848" s="1">
        <v>44101</v>
      </c>
      <c r="H848" t="s">
        <v>13</v>
      </c>
      <c r="I848" t="s">
        <v>14</v>
      </c>
    </row>
    <row r="849" spans="1:9" x14ac:dyDescent="0.2">
      <c r="A849">
        <v>320193</v>
      </c>
      <c r="B849" t="s">
        <v>100</v>
      </c>
      <c r="C849" t="s">
        <v>28</v>
      </c>
      <c r="D849" t="s">
        <v>29</v>
      </c>
      <c r="E849" t="s">
        <v>12</v>
      </c>
      <c r="F849">
        <v>57411000000</v>
      </c>
      <c r="G849" s="1">
        <v>44101</v>
      </c>
      <c r="H849" t="s">
        <v>13</v>
      </c>
      <c r="I849" t="s">
        <v>14</v>
      </c>
    </row>
    <row r="850" spans="1:9" x14ac:dyDescent="0.2">
      <c r="A850">
        <v>320193</v>
      </c>
      <c r="B850" t="s">
        <v>100</v>
      </c>
      <c r="C850" t="s">
        <v>28</v>
      </c>
      <c r="D850" t="s">
        <v>29</v>
      </c>
      <c r="E850" t="s">
        <v>12</v>
      </c>
      <c r="F850">
        <v>57411000000</v>
      </c>
      <c r="G850" s="1">
        <v>44101</v>
      </c>
      <c r="H850" t="s">
        <v>13</v>
      </c>
      <c r="I850" t="s">
        <v>14</v>
      </c>
    </row>
    <row r="851" spans="1:9" x14ac:dyDescent="0.2">
      <c r="A851">
        <v>320193</v>
      </c>
      <c r="B851" t="s">
        <v>100</v>
      </c>
      <c r="C851" t="s">
        <v>28</v>
      </c>
      <c r="D851" t="s">
        <v>29</v>
      </c>
      <c r="E851" t="s">
        <v>12</v>
      </c>
      <c r="F851">
        <v>57411000000</v>
      </c>
      <c r="G851" s="1">
        <v>44101</v>
      </c>
      <c r="H851" t="s">
        <v>13</v>
      </c>
      <c r="I851" t="s">
        <v>14</v>
      </c>
    </row>
    <row r="852" spans="1:9" x14ac:dyDescent="0.2">
      <c r="A852">
        <v>320193</v>
      </c>
      <c r="B852" t="s">
        <v>100</v>
      </c>
      <c r="C852" t="s">
        <v>28</v>
      </c>
      <c r="D852" t="s">
        <v>29</v>
      </c>
      <c r="E852" t="s">
        <v>12</v>
      </c>
      <c r="F852">
        <v>57411000000</v>
      </c>
      <c r="G852" s="1">
        <v>44101</v>
      </c>
      <c r="H852" t="s">
        <v>13</v>
      </c>
      <c r="I852" t="s">
        <v>14</v>
      </c>
    </row>
    <row r="853" spans="1:9" x14ac:dyDescent="0.2">
      <c r="A853">
        <v>320193</v>
      </c>
      <c r="B853" t="s">
        <v>100</v>
      </c>
      <c r="C853" t="s">
        <v>28</v>
      </c>
      <c r="D853" t="s">
        <v>29</v>
      </c>
      <c r="E853" t="s">
        <v>12</v>
      </c>
      <c r="F853">
        <v>12673000000</v>
      </c>
      <c r="G853" s="1">
        <v>44101</v>
      </c>
      <c r="H853" t="s">
        <v>13</v>
      </c>
      <c r="I853" t="s">
        <v>14</v>
      </c>
    </row>
    <row r="854" spans="1:9" x14ac:dyDescent="0.2">
      <c r="A854">
        <v>320193</v>
      </c>
      <c r="B854" t="s">
        <v>97</v>
      </c>
      <c r="C854" t="s">
        <v>28</v>
      </c>
      <c r="D854" t="s">
        <v>29</v>
      </c>
      <c r="E854" t="s">
        <v>12</v>
      </c>
      <c r="F854">
        <v>94680000000</v>
      </c>
      <c r="G854" s="1">
        <v>44465</v>
      </c>
      <c r="H854" t="s">
        <v>13</v>
      </c>
      <c r="I854" t="s">
        <v>14</v>
      </c>
    </row>
    <row r="855" spans="1:9" x14ac:dyDescent="0.2">
      <c r="A855">
        <v>320193</v>
      </c>
      <c r="B855" t="s">
        <v>97</v>
      </c>
      <c r="C855" t="s">
        <v>28</v>
      </c>
      <c r="D855" t="s">
        <v>29</v>
      </c>
      <c r="E855" t="s">
        <v>12</v>
      </c>
      <c r="F855">
        <v>94680000000</v>
      </c>
      <c r="G855" s="1">
        <v>44465</v>
      </c>
      <c r="H855" t="s">
        <v>13</v>
      </c>
      <c r="I855" t="s">
        <v>14</v>
      </c>
    </row>
    <row r="856" spans="1:9" x14ac:dyDescent="0.2">
      <c r="A856">
        <v>320193</v>
      </c>
      <c r="B856" t="s">
        <v>97</v>
      </c>
      <c r="C856" t="s">
        <v>28</v>
      </c>
      <c r="D856" t="s">
        <v>29</v>
      </c>
      <c r="E856" t="s">
        <v>12</v>
      </c>
      <c r="F856">
        <v>94680000000</v>
      </c>
      <c r="G856" s="1">
        <v>44465</v>
      </c>
      <c r="H856" t="s">
        <v>13</v>
      </c>
      <c r="I856" t="s">
        <v>14</v>
      </c>
    </row>
    <row r="857" spans="1:9" x14ac:dyDescent="0.2">
      <c r="A857">
        <v>320193</v>
      </c>
      <c r="B857" t="s">
        <v>97</v>
      </c>
      <c r="C857" t="s">
        <v>28</v>
      </c>
      <c r="D857" t="s">
        <v>29</v>
      </c>
      <c r="E857" t="s">
        <v>12</v>
      </c>
      <c r="F857">
        <v>94680000000</v>
      </c>
      <c r="G857" s="1">
        <v>44465</v>
      </c>
      <c r="H857" t="s">
        <v>13</v>
      </c>
      <c r="I857" t="s">
        <v>14</v>
      </c>
    </row>
    <row r="858" spans="1:9" x14ac:dyDescent="0.2">
      <c r="A858">
        <v>320193</v>
      </c>
      <c r="B858" t="s">
        <v>99</v>
      </c>
      <c r="C858" t="s">
        <v>28</v>
      </c>
      <c r="D858" t="s">
        <v>29</v>
      </c>
      <c r="E858" t="s">
        <v>12</v>
      </c>
      <c r="F858">
        <v>94680000000</v>
      </c>
      <c r="G858" s="1">
        <v>44465</v>
      </c>
      <c r="H858" t="s">
        <v>13</v>
      </c>
      <c r="I858" t="s">
        <v>14</v>
      </c>
    </row>
    <row r="859" spans="1:9" x14ac:dyDescent="0.2">
      <c r="A859">
        <v>320193</v>
      </c>
      <c r="B859" t="s">
        <v>99</v>
      </c>
      <c r="C859" t="s">
        <v>28</v>
      </c>
      <c r="D859" t="s">
        <v>29</v>
      </c>
      <c r="E859" t="s">
        <v>12</v>
      </c>
      <c r="F859">
        <v>94680000000</v>
      </c>
      <c r="G859" s="1">
        <v>44465</v>
      </c>
      <c r="H859" t="s">
        <v>13</v>
      </c>
      <c r="I859" t="s">
        <v>14</v>
      </c>
    </row>
    <row r="860" spans="1:9" x14ac:dyDescent="0.2">
      <c r="A860">
        <v>320193</v>
      </c>
      <c r="B860" t="s">
        <v>99</v>
      </c>
      <c r="C860" t="s">
        <v>28</v>
      </c>
      <c r="D860" t="s">
        <v>29</v>
      </c>
      <c r="E860" t="s">
        <v>12</v>
      </c>
      <c r="F860">
        <v>94680000000</v>
      </c>
      <c r="G860" s="1">
        <v>44465</v>
      </c>
      <c r="H860" t="s">
        <v>13</v>
      </c>
      <c r="I860" t="s">
        <v>14</v>
      </c>
    </row>
    <row r="861" spans="1:9" x14ac:dyDescent="0.2">
      <c r="A861">
        <v>320193</v>
      </c>
      <c r="B861" t="s">
        <v>99</v>
      </c>
      <c r="C861" t="s">
        <v>28</v>
      </c>
      <c r="D861" t="s">
        <v>29</v>
      </c>
      <c r="E861" t="s">
        <v>12</v>
      </c>
      <c r="F861">
        <v>94680000000</v>
      </c>
      <c r="G861" s="1">
        <v>44465</v>
      </c>
      <c r="H861" t="s">
        <v>13</v>
      </c>
      <c r="I861" t="s">
        <v>14</v>
      </c>
    </row>
    <row r="862" spans="1:9" x14ac:dyDescent="0.2">
      <c r="A862">
        <v>320193</v>
      </c>
      <c r="B862" t="s">
        <v>101</v>
      </c>
      <c r="C862" t="s">
        <v>28</v>
      </c>
      <c r="D862" t="s">
        <v>29</v>
      </c>
      <c r="E862" t="s">
        <v>12</v>
      </c>
      <c r="F862">
        <v>94680000000</v>
      </c>
      <c r="G862" s="1">
        <v>44465</v>
      </c>
      <c r="H862" t="s">
        <v>13</v>
      </c>
      <c r="I862" t="s">
        <v>14</v>
      </c>
    </row>
    <row r="863" spans="1:9" x14ac:dyDescent="0.2">
      <c r="A863">
        <v>320193</v>
      </c>
      <c r="B863" t="s">
        <v>101</v>
      </c>
      <c r="C863" t="s">
        <v>28</v>
      </c>
      <c r="D863" t="s">
        <v>29</v>
      </c>
      <c r="E863" t="s">
        <v>12</v>
      </c>
      <c r="F863">
        <v>94680000000</v>
      </c>
      <c r="G863" s="1">
        <v>44465</v>
      </c>
      <c r="H863" t="s">
        <v>13</v>
      </c>
      <c r="I863" t="s">
        <v>14</v>
      </c>
    </row>
    <row r="864" spans="1:9" x14ac:dyDescent="0.2">
      <c r="A864">
        <v>320193</v>
      </c>
      <c r="B864" t="s">
        <v>101</v>
      </c>
      <c r="C864" t="s">
        <v>28</v>
      </c>
      <c r="D864" t="s">
        <v>29</v>
      </c>
      <c r="E864" t="s">
        <v>12</v>
      </c>
      <c r="F864">
        <v>94680000000</v>
      </c>
      <c r="G864" s="1">
        <v>44465</v>
      </c>
      <c r="H864" t="s">
        <v>13</v>
      </c>
      <c r="I864" t="s">
        <v>14</v>
      </c>
    </row>
    <row r="865" spans="1:9" x14ac:dyDescent="0.2">
      <c r="A865">
        <v>320193</v>
      </c>
      <c r="B865" t="s">
        <v>101</v>
      </c>
      <c r="C865" t="s">
        <v>28</v>
      </c>
      <c r="D865" t="s">
        <v>29</v>
      </c>
      <c r="E865" t="s">
        <v>12</v>
      </c>
      <c r="F865">
        <v>94680000000</v>
      </c>
      <c r="G865" s="1">
        <v>44465</v>
      </c>
      <c r="H865" t="s">
        <v>13</v>
      </c>
      <c r="I865" t="s">
        <v>14</v>
      </c>
    </row>
    <row r="866" spans="1:9" x14ac:dyDescent="0.2">
      <c r="A866">
        <v>320193</v>
      </c>
      <c r="B866" t="s">
        <v>97</v>
      </c>
      <c r="C866" t="s">
        <v>28</v>
      </c>
      <c r="D866" t="s">
        <v>29</v>
      </c>
      <c r="E866" t="s">
        <v>12</v>
      </c>
      <c r="F866">
        <v>99803000000</v>
      </c>
      <c r="G866" s="1">
        <v>44829</v>
      </c>
      <c r="H866" t="s">
        <v>13</v>
      </c>
      <c r="I866" t="s">
        <v>14</v>
      </c>
    </row>
    <row r="867" spans="1:9" x14ac:dyDescent="0.2">
      <c r="A867">
        <v>320193</v>
      </c>
      <c r="B867" t="s">
        <v>97</v>
      </c>
      <c r="C867" t="s">
        <v>28</v>
      </c>
      <c r="D867" t="s">
        <v>29</v>
      </c>
      <c r="E867" t="s">
        <v>12</v>
      </c>
      <c r="F867">
        <v>99803000000</v>
      </c>
      <c r="G867" s="1">
        <v>44829</v>
      </c>
      <c r="H867" t="s">
        <v>13</v>
      </c>
      <c r="I867" t="s">
        <v>14</v>
      </c>
    </row>
    <row r="868" spans="1:9" x14ac:dyDescent="0.2">
      <c r="A868">
        <v>320193</v>
      </c>
      <c r="B868" t="s">
        <v>97</v>
      </c>
      <c r="C868" t="s">
        <v>28</v>
      </c>
      <c r="D868" t="s">
        <v>29</v>
      </c>
      <c r="E868" t="s">
        <v>12</v>
      </c>
      <c r="F868">
        <v>99803000000</v>
      </c>
      <c r="G868" s="1">
        <v>44829</v>
      </c>
      <c r="H868" t="s">
        <v>13</v>
      </c>
      <c r="I868" t="s">
        <v>14</v>
      </c>
    </row>
    <row r="869" spans="1:9" x14ac:dyDescent="0.2">
      <c r="A869">
        <v>320193</v>
      </c>
      <c r="B869" t="s">
        <v>97</v>
      </c>
      <c r="C869" t="s">
        <v>28</v>
      </c>
      <c r="D869" t="s">
        <v>29</v>
      </c>
      <c r="E869" t="s">
        <v>12</v>
      </c>
      <c r="F869">
        <v>99803000000</v>
      </c>
      <c r="G869" s="1">
        <v>44829</v>
      </c>
      <c r="H869" t="s">
        <v>13</v>
      </c>
      <c r="I869" t="s">
        <v>14</v>
      </c>
    </row>
    <row r="870" spans="1:9" x14ac:dyDescent="0.2">
      <c r="A870">
        <v>320193</v>
      </c>
      <c r="B870" t="s">
        <v>98</v>
      </c>
      <c r="C870" t="s">
        <v>28</v>
      </c>
      <c r="D870" t="s">
        <v>29</v>
      </c>
      <c r="E870" t="s">
        <v>12</v>
      </c>
      <c r="F870">
        <v>99803000000</v>
      </c>
      <c r="G870" s="1">
        <v>44829</v>
      </c>
      <c r="H870" t="s">
        <v>13</v>
      </c>
      <c r="I870" t="s">
        <v>14</v>
      </c>
    </row>
    <row r="871" spans="1:9" x14ac:dyDescent="0.2">
      <c r="A871">
        <v>320193</v>
      </c>
      <c r="B871" t="s">
        <v>98</v>
      </c>
      <c r="C871" t="s">
        <v>28</v>
      </c>
      <c r="D871" t="s">
        <v>29</v>
      </c>
      <c r="E871" t="s">
        <v>12</v>
      </c>
      <c r="F871">
        <v>99803000000</v>
      </c>
      <c r="G871" s="1">
        <v>44829</v>
      </c>
      <c r="H871" t="s">
        <v>13</v>
      </c>
      <c r="I871" t="s">
        <v>14</v>
      </c>
    </row>
    <row r="872" spans="1:9" x14ac:dyDescent="0.2">
      <c r="A872">
        <v>320193</v>
      </c>
      <c r="B872" t="s">
        <v>98</v>
      </c>
      <c r="C872" t="s">
        <v>28</v>
      </c>
      <c r="D872" t="s">
        <v>29</v>
      </c>
      <c r="E872" t="s">
        <v>12</v>
      </c>
      <c r="F872">
        <v>99803000000</v>
      </c>
      <c r="G872" s="1">
        <v>44829</v>
      </c>
      <c r="H872" t="s">
        <v>13</v>
      </c>
      <c r="I872" t="s">
        <v>14</v>
      </c>
    </row>
    <row r="873" spans="1:9" x14ac:dyDescent="0.2">
      <c r="A873">
        <v>320193</v>
      </c>
      <c r="B873" t="s">
        <v>98</v>
      </c>
      <c r="C873" t="s">
        <v>28</v>
      </c>
      <c r="D873" t="s">
        <v>29</v>
      </c>
      <c r="E873" t="s">
        <v>12</v>
      </c>
      <c r="F873">
        <v>99803000000</v>
      </c>
      <c r="G873" s="1">
        <v>44829</v>
      </c>
      <c r="H873" t="s">
        <v>13</v>
      </c>
      <c r="I873" t="s">
        <v>14</v>
      </c>
    </row>
    <row r="874" spans="1:9" x14ac:dyDescent="0.2">
      <c r="A874">
        <v>320193</v>
      </c>
      <c r="B874" t="s">
        <v>101</v>
      </c>
      <c r="C874" t="s">
        <v>28</v>
      </c>
      <c r="D874" t="s">
        <v>29</v>
      </c>
      <c r="E874" t="s">
        <v>12</v>
      </c>
      <c r="F874">
        <v>99803000000</v>
      </c>
      <c r="G874" s="1">
        <v>44829</v>
      </c>
      <c r="H874" t="s">
        <v>13</v>
      </c>
      <c r="I874" t="s">
        <v>14</v>
      </c>
    </row>
    <row r="875" spans="1:9" x14ac:dyDescent="0.2">
      <c r="A875">
        <v>320193</v>
      </c>
      <c r="B875" t="s">
        <v>101</v>
      </c>
      <c r="C875" t="s">
        <v>28</v>
      </c>
      <c r="D875" t="s">
        <v>29</v>
      </c>
      <c r="E875" t="s">
        <v>12</v>
      </c>
      <c r="F875">
        <v>99803000000</v>
      </c>
      <c r="G875" s="1">
        <v>44829</v>
      </c>
      <c r="H875" t="s">
        <v>13</v>
      </c>
      <c r="I875" t="s">
        <v>14</v>
      </c>
    </row>
    <row r="876" spans="1:9" x14ac:dyDescent="0.2">
      <c r="A876">
        <v>320193</v>
      </c>
      <c r="B876" t="s">
        <v>101</v>
      </c>
      <c r="C876" t="s">
        <v>28</v>
      </c>
      <c r="D876" t="s">
        <v>29</v>
      </c>
      <c r="E876" t="s">
        <v>12</v>
      </c>
      <c r="F876">
        <v>99803000000</v>
      </c>
      <c r="G876" s="1">
        <v>44829</v>
      </c>
      <c r="H876" t="s">
        <v>13</v>
      </c>
      <c r="I876" t="s">
        <v>14</v>
      </c>
    </row>
    <row r="877" spans="1:9" x14ac:dyDescent="0.2">
      <c r="A877">
        <v>320193</v>
      </c>
      <c r="B877" t="s">
        <v>101</v>
      </c>
      <c r="C877" t="s">
        <v>28</v>
      </c>
      <c r="D877" t="s">
        <v>29</v>
      </c>
      <c r="E877" t="s">
        <v>12</v>
      </c>
      <c r="F877">
        <v>99803000000</v>
      </c>
      <c r="G877" s="1">
        <v>44829</v>
      </c>
      <c r="H877" t="s">
        <v>13</v>
      </c>
      <c r="I877" t="s">
        <v>14</v>
      </c>
    </row>
    <row r="878" spans="1:9" x14ac:dyDescent="0.2">
      <c r="A878">
        <v>320193</v>
      </c>
      <c r="B878" t="s">
        <v>88</v>
      </c>
      <c r="C878" t="s">
        <v>28</v>
      </c>
      <c r="D878" t="s">
        <v>29</v>
      </c>
      <c r="E878" t="s">
        <v>12</v>
      </c>
      <c r="F878">
        <v>96995000000</v>
      </c>
      <c r="G878" s="1">
        <v>45200</v>
      </c>
      <c r="H878" t="s">
        <v>13</v>
      </c>
      <c r="I878" t="s">
        <v>14</v>
      </c>
    </row>
    <row r="879" spans="1:9" x14ac:dyDescent="0.2">
      <c r="A879">
        <v>320193</v>
      </c>
      <c r="B879" t="s">
        <v>88</v>
      </c>
      <c r="C879" t="s">
        <v>28</v>
      </c>
      <c r="D879" t="s">
        <v>29</v>
      </c>
      <c r="E879" t="s">
        <v>12</v>
      </c>
      <c r="F879">
        <v>96995000000</v>
      </c>
      <c r="G879" s="1">
        <v>45200</v>
      </c>
      <c r="H879" t="s">
        <v>13</v>
      </c>
      <c r="I879" t="s">
        <v>14</v>
      </c>
    </row>
    <row r="880" spans="1:9" x14ac:dyDescent="0.2">
      <c r="A880">
        <v>320193</v>
      </c>
      <c r="B880" t="s">
        <v>88</v>
      </c>
      <c r="C880" t="s">
        <v>28</v>
      </c>
      <c r="D880" t="s">
        <v>29</v>
      </c>
      <c r="E880" t="s">
        <v>12</v>
      </c>
      <c r="F880">
        <v>96995000000</v>
      </c>
      <c r="G880" s="1">
        <v>45200</v>
      </c>
      <c r="H880" t="s">
        <v>13</v>
      </c>
      <c r="I880" t="s">
        <v>14</v>
      </c>
    </row>
    <row r="881" spans="1:9" x14ac:dyDescent="0.2">
      <c r="A881">
        <v>320193</v>
      </c>
      <c r="B881" t="s">
        <v>88</v>
      </c>
      <c r="C881" t="s">
        <v>28</v>
      </c>
      <c r="D881" t="s">
        <v>29</v>
      </c>
      <c r="E881" t="s">
        <v>12</v>
      </c>
      <c r="F881">
        <v>96995000000</v>
      </c>
      <c r="G881" s="1">
        <v>45200</v>
      </c>
      <c r="H881" t="s">
        <v>13</v>
      </c>
      <c r="I881" t="s">
        <v>14</v>
      </c>
    </row>
    <row r="882" spans="1:9" x14ac:dyDescent="0.2">
      <c r="A882">
        <v>320193</v>
      </c>
      <c r="B882" t="s">
        <v>98</v>
      </c>
      <c r="C882" t="s">
        <v>28</v>
      </c>
      <c r="D882" t="s">
        <v>29</v>
      </c>
      <c r="E882" t="s">
        <v>12</v>
      </c>
      <c r="F882">
        <v>96995000000</v>
      </c>
      <c r="G882" s="1">
        <v>45200</v>
      </c>
      <c r="H882" t="s">
        <v>13</v>
      </c>
      <c r="I882" t="s">
        <v>14</v>
      </c>
    </row>
    <row r="883" spans="1:9" x14ac:dyDescent="0.2">
      <c r="A883">
        <v>320193</v>
      </c>
      <c r="B883" t="s">
        <v>98</v>
      </c>
      <c r="C883" t="s">
        <v>28</v>
      </c>
      <c r="D883" t="s">
        <v>29</v>
      </c>
      <c r="E883" t="s">
        <v>12</v>
      </c>
      <c r="F883">
        <v>96995000000</v>
      </c>
      <c r="G883" s="1">
        <v>45200</v>
      </c>
      <c r="H883" t="s">
        <v>13</v>
      </c>
      <c r="I883" t="s">
        <v>14</v>
      </c>
    </row>
    <row r="884" spans="1:9" x14ac:dyDescent="0.2">
      <c r="A884">
        <v>320193</v>
      </c>
      <c r="B884" t="s">
        <v>98</v>
      </c>
      <c r="C884" t="s">
        <v>28</v>
      </c>
      <c r="D884" t="s">
        <v>29</v>
      </c>
      <c r="E884" t="s">
        <v>12</v>
      </c>
      <c r="F884">
        <v>96995000000</v>
      </c>
      <c r="G884" s="1">
        <v>45200</v>
      </c>
      <c r="H884" t="s">
        <v>13</v>
      </c>
      <c r="I884" t="s">
        <v>14</v>
      </c>
    </row>
    <row r="885" spans="1:9" x14ac:dyDescent="0.2">
      <c r="A885">
        <v>320193</v>
      </c>
      <c r="B885" t="s">
        <v>98</v>
      </c>
      <c r="C885" t="s">
        <v>28</v>
      </c>
      <c r="D885" t="s">
        <v>29</v>
      </c>
      <c r="E885" t="s">
        <v>12</v>
      </c>
      <c r="F885">
        <v>96995000000</v>
      </c>
      <c r="G885" s="1">
        <v>45200</v>
      </c>
      <c r="H885" t="s">
        <v>13</v>
      </c>
      <c r="I885" t="s">
        <v>14</v>
      </c>
    </row>
    <row r="886" spans="1:9" x14ac:dyDescent="0.2">
      <c r="A886">
        <v>320193</v>
      </c>
      <c r="B886" t="s">
        <v>101</v>
      </c>
      <c r="C886" t="s">
        <v>28</v>
      </c>
      <c r="D886" t="s">
        <v>29</v>
      </c>
      <c r="E886" t="s">
        <v>12</v>
      </c>
      <c r="F886">
        <v>96995000000</v>
      </c>
      <c r="G886" s="1">
        <v>45200</v>
      </c>
      <c r="H886" t="s">
        <v>13</v>
      </c>
      <c r="I886" t="s">
        <v>14</v>
      </c>
    </row>
    <row r="887" spans="1:9" x14ac:dyDescent="0.2">
      <c r="A887">
        <v>320193</v>
      </c>
      <c r="B887" t="s">
        <v>101</v>
      </c>
      <c r="C887" t="s">
        <v>28</v>
      </c>
      <c r="D887" t="s">
        <v>29</v>
      </c>
      <c r="E887" t="s">
        <v>12</v>
      </c>
      <c r="F887">
        <v>96995000000</v>
      </c>
      <c r="G887" s="1">
        <v>45200</v>
      </c>
      <c r="H887" t="s">
        <v>13</v>
      </c>
      <c r="I887" t="s">
        <v>14</v>
      </c>
    </row>
    <row r="888" spans="1:9" x14ac:dyDescent="0.2">
      <c r="A888">
        <v>320193</v>
      </c>
      <c r="B888" t="s">
        <v>101</v>
      </c>
      <c r="C888" t="s">
        <v>28</v>
      </c>
      <c r="D888" t="s">
        <v>29</v>
      </c>
      <c r="E888" t="s">
        <v>12</v>
      </c>
      <c r="F888">
        <v>96995000000</v>
      </c>
      <c r="G888" s="1">
        <v>45200</v>
      </c>
      <c r="H888" t="s">
        <v>13</v>
      </c>
      <c r="I888" t="s">
        <v>14</v>
      </c>
    </row>
    <row r="889" spans="1:9" x14ac:dyDescent="0.2">
      <c r="A889">
        <v>320193</v>
      </c>
      <c r="B889" t="s">
        <v>101</v>
      </c>
      <c r="C889" t="s">
        <v>28</v>
      </c>
      <c r="D889" t="s">
        <v>29</v>
      </c>
      <c r="E889" t="s">
        <v>12</v>
      </c>
      <c r="F889">
        <v>96995000000</v>
      </c>
      <c r="G889" s="1">
        <v>45200</v>
      </c>
      <c r="H889" t="s">
        <v>13</v>
      </c>
      <c r="I889" t="s">
        <v>14</v>
      </c>
    </row>
    <row r="890" spans="1:9" x14ac:dyDescent="0.2">
      <c r="A890">
        <v>320193</v>
      </c>
      <c r="B890" t="s">
        <v>88</v>
      </c>
      <c r="C890" t="s">
        <v>28</v>
      </c>
      <c r="D890" t="s">
        <v>29</v>
      </c>
      <c r="E890" t="s">
        <v>12</v>
      </c>
      <c r="F890">
        <v>93736000000</v>
      </c>
      <c r="G890" s="1">
        <v>45564</v>
      </c>
      <c r="H890" t="s">
        <v>13</v>
      </c>
      <c r="I890" t="s">
        <v>14</v>
      </c>
    </row>
    <row r="891" spans="1:9" x14ac:dyDescent="0.2">
      <c r="A891">
        <v>320193</v>
      </c>
      <c r="B891" t="s">
        <v>88</v>
      </c>
      <c r="C891" t="s">
        <v>28</v>
      </c>
      <c r="D891" t="s">
        <v>29</v>
      </c>
      <c r="E891" t="s">
        <v>12</v>
      </c>
      <c r="F891">
        <v>93736000000</v>
      </c>
      <c r="G891" s="1">
        <v>45564</v>
      </c>
      <c r="H891" t="s">
        <v>13</v>
      </c>
      <c r="I891" t="s">
        <v>14</v>
      </c>
    </row>
    <row r="892" spans="1:9" x14ac:dyDescent="0.2">
      <c r="A892">
        <v>320193</v>
      </c>
      <c r="B892" t="s">
        <v>88</v>
      </c>
      <c r="C892" t="s">
        <v>28</v>
      </c>
      <c r="D892" t="s">
        <v>29</v>
      </c>
      <c r="E892" t="s">
        <v>12</v>
      </c>
      <c r="F892">
        <v>93736000000</v>
      </c>
      <c r="G892" s="1">
        <v>45564</v>
      </c>
      <c r="H892" t="s">
        <v>13</v>
      </c>
      <c r="I892" t="s">
        <v>14</v>
      </c>
    </row>
    <row r="893" spans="1:9" x14ac:dyDescent="0.2">
      <c r="A893">
        <v>320193</v>
      </c>
      <c r="B893" t="s">
        <v>88</v>
      </c>
      <c r="C893" t="s">
        <v>28</v>
      </c>
      <c r="D893" t="s">
        <v>29</v>
      </c>
      <c r="E893" t="s">
        <v>12</v>
      </c>
      <c r="F893">
        <v>93736000000</v>
      </c>
      <c r="G893" s="1">
        <v>45564</v>
      </c>
      <c r="H893" t="s">
        <v>13</v>
      </c>
      <c r="I893" t="s">
        <v>14</v>
      </c>
    </row>
    <row r="894" spans="1:9" x14ac:dyDescent="0.2">
      <c r="A894">
        <v>320193</v>
      </c>
      <c r="B894" t="s">
        <v>98</v>
      </c>
      <c r="C894" t="s">
        <v>28</v>
      </c>
      <c r="D894" t="s">
        <v>29</v>
      </c>
      <c r="E894" t="s">
        <v>12</v>
      </c>
      <c r="F894">
        <v>93736000000</v>
      </c>
      <c r="G894" s="1">
        <v>45564</v>
      </c>
      <c r="H894" t="s">
        <v>13</v>
      </c>
      <c r="I894" t="s">
        <v>14</v>
      </c>
    </row>
    <row r="895" spans="1:9" x14ac:dyDescent="0.2">
      <c r="A895">
        <v>320193</v>
      </c>
      <c r="B895" t="s">
        <v>98</v>
      </c>
      <c r="C895" t="s">
        <v>28</v>
      </c>
      <c r="D895" t="s">
        <v>29</v>
      </c>
      <c r="E895" t="s">
        <v>12</v>
      </c>
      <c r="F895">
        <v>93736000000</v>
      </c>
      <c r="G895" s="1">
        <v>45564</v>
      </c>
      <c r="H895" t="s">
        <v>13</v>
      </c>
      <c r="I895" t="s">
        <v>14</v>
      </c>
    </row>
    <row r="896" spans="1:9" x14ac:dyDescent="0.2">
      <c r="A896">
        <v>320193</v>
      </c>
      <c r="B896" t="s">
        <v>98</v>
      </c>
      <c r="C896" t="s">
        <v>28</v>
      </c>
      <c r="D896" t="s">
        <v>29</v>
      </c>
      <c r="E896" t="s">
        <v>12</v>
      </c>
      <c r="F896">
        <v>93736000000</v>
      </c>
      <c r="G896" s="1">
        <v>45564</v>
      </c>
      <c r="H896" t="s">
        <v>13</v>
      </c>
      <c r="I896" t="s">
        <v>14</v>
      </c>
    </row>
    <row r="897" spans="1:9" x14ac:dyDescent="0.2">
      <c r="A897">
        <v>320193</v>
      </c>
      <c r="B897" t="s">
        <v>98</v>
      </c>
      <c r="C897" t="s">
        <v>28</v>
      </c>
      <c r="D897" t="s">
        <v>29</v>
      </c>
      <c r="E897" t="s">
        <v>12</v>
      </c>
      <c r="F897">
        <v>93736000000</v>
      </c>
      <c r="G897" s="1">
        <v>45564</v>
      </c>
      <c r="H897" t="s">
        <v>13</v>
      </c>
      <c r="I897" t="s">
        <v>14</v>
      </c>
    </row>
    <row r="898" spans="1:9" x14ac:dyDescent="0.2">
      <c r="A898">
        <v>320193</v>
      </c>
      <c r="B898" t="s">
        <v>88</v>
      </c>
      <c r="C898" t="s">
        <v>28</v>
      </c>
      <c r="D898" t="s">
        <v>29</v>
      </c>
      <c r="E898" t="s">
        <v>12</v>
      </c>
      <c r="F898">
        <v>112010000000</v>
      </c>
      <c r="G898" s="1">
        <v>45928</v>
      </c>
      <c r="H898" t="s">
        <v>13</v>
      </c>
      <c r="I898" t="s">
        <v>14</v>
      </c>
    </row>
    <row r="899" spans="1:9" x14ac:dyDescent="0.2">
      <c r="A899">
        <v>320193</v>
      </c>
      <c r="B899" t="s">
        <v>88</v>
      </c>
      <c r="C899" t="s">
        <v>28</v>
      </c>
      <c r="D899" t="s">
        <v>29</v>
      </c>
      <c r="E899" t="s">
        <v>12</v>
      </c>
      <c r="F899">
        <v>112010000000</v>
      </c>
      <c r="G899" s="1">
        <v>45928</v>
      </c>
      <c r="H899" t="s">
        <v>13</v>
      </c>
      <c r="I899" t="s">
        <v>14</v>
      </c>
    </row>
    <row r="900" spans="1:9" x14ac:dyDescent="0.2">
      <c r="A900">
        <v>320193</v>
      </c>
      <c r="B900" t="s">
        <v>88</v>
      </c>
      <c r="C900" t="s">
        <v>28</v>
      </c>
      <c r="D900" t="s">
        <v>29</v>
      </c>
      <c r="E900" t="s">
        <v>12</v>
      </c>
      <c r="F900">
        <v>112010000000</v>
      </c>
      <c r="G900" s="1">
        <v>45928</v>
      </c>
      <c r="H900" t="s">
        <v>13</v>
      </c>
      <c r="I900" t="s">
        <v>14</v>
      </c>
    </row>
    <row r="901" spans="1:9" x14ac:dyDescent="0.2">
      <c r="A901">
        <v>320193</v>
      </c>
      <c r="B901" t="s">
        <v>88</v>
      </c>
      <c r="C901" t="s">
        <v>28</v>
      </c>
      <c r="D901" t="s">
        <v>29</v>
      </c>
      <c r="E901" t="s">
        <v>12</v>
      </c>
      <c r="F901">
        <v>112010000000</v>
      </c>
      <c r="G901" s="1">
        <v>45928</v>
      </c>
      <c r="H901" t="s">
        <v>13</v>
      </c>
      <c r="I901" t="s">
        <v>14</v>
      </c>
    </row>
    <row r="902" spans="1:9" x14ac:dyDescent="0.2">
      <c r="A902">
        <v>320193</v>
      </c>
      <c r="B902" t="s">
        <v>9</v>
      </c>
      <c r="C902" t="s">
        <v>30</v>
      </c>
      <c r="D902" t="s">
        <v>29</v>
      </c>
      <c r="E902" t="s">
        <v>12</v>
      </c>
      <c r="F902">
        <v>48351000000</v>
      </c>
      <c r="G902" s="1">
        <v>43009</v>
      </c>
      <c r="H902" t="s">
        <v>13</v>
      </c>
      <c r="I902" t="s">
        <v>14</v>
      </c>
    </row>
    <row r="903" spans="1:9" x14ac:dyDescent="0.2">
      <c r="A903">
        <v>320193</v>
      </c>
      <c r="B903" t="s">
        <v>9</v>
      </c>
      <c r="C903" t="s">
        <v>30</v>
      </c>
      <c r="D903" t="s">
        <v>29</v>
      </c>
      <c r="E903" t="s">
        <v>12</v>
      </c>
      <c r="F903">
        <v>48351000000</v>
      </c>
      <c r="G903" s="1">
        <v>43009</v>
      </c>
      <c r="H903" t="s">
        <v>13</v>
      </c>
      <c r="I903" t="s">
        <v>14</v>
      </c>
    </row>
    <row r="904" spans="1:9" x14ac:dyDescent="0.2">
      <c r="A904">
        <v>320193</v>
      </c>
      <c r="B904" t="s">
        <v>9</v>
      </c>
      <c r="C904" t="s">
        <v>30</v>
      </c>
      <c r="D904" t="s">
        <v>29</v>
      </c>
      <c r="E904" t="s">
        <v>12</v>
      </c>
      <c r="F904">
        <v>48351000000</v>
      </c>
      <c r="G904" s="1">
        <v>43009</v>
      </c>
      <c r="H904" t="s">
        <v>13</v>
      </c>
      <c r="I904" t="s">
        <v>14</v>
      </c>
    </row>
    <row r="905" spans="1:9" x14ac:dyDescent="0.2">
      <c r="A905">
        <v>320193</v>
      </c>
      <c r="B905" t="s">
        <v>9</v>
      </c>
      <c r="C905" t="s">
        <v>30</v>
      </c>
      <c r="D905" t="s">
        <v>29</v>
      </c>
      <c r="E905" t="s">
        <v>12</v>
      </c>
      <c r="F905">
        <v>48351000000</v>
      </c>
      <c r="G905" s="1">
        <v>43009</v>
      </c>
      <c r="H905" t="s">
        <v>13</v>
      </c>
      <c r="I905" t="s">
        <v>14</v>
      </c>
    </row>
    <row r="906" spans="1:9" x14ac:dyDescent="0.2">
      <c r="A906">
        <v>320193</v>
      </c>
      <c r="B906" t="s">
        <v>9</v>
      </c>
      <c r="C906" t="s">
        <v>30</v>
      </c>
      <c r="D906" t="s">
        <v>29</v>
      </c>
      <c r="E906" t="s">
        <v>12</v>
      </c>
      <c r="F906">
        <v>20065000000</v>
      </c>
      <c r="G906" s="1">
        <v>43100</v>
      </c>
      <c r="H906" t="s">
        <v>13</v>
      </c>
      <c r="I906" t="s">
        <v>14</v>
      </c>
    </row>
    <row r="907" spans="1:9" x14ac:dyDescent="0.2">
      <c r="A907">
        <v>320193</v>
      </c>
      <c r="B907" t="s">
        <v>9</v>
      </c>
      <c r="C907" t="s">
        <v>30</v>
      </c>
      <c r="D907" t="s">
        <v>29</v>
      </c>
      <c r="E907" t="s">
        <v>12</v>
      </c>
      <c r="F907">
        <v>13822000000</v>
      </c>
      <c r="G907" s="1">
        <v>43191</v>
      </c>
      <c r="H907" t="s">
        <v>13</v>
      </c>
      <c r="I907" t="s">
        <v>14</v>
      </c>
    </row>
    <row r="908" spans="1:9" x14ac:dyDescent="0.2">
      <c r="A908">
        <v>320193</v>
      </c>
      <c r="B908" t="s">
        <v>9</v>
      </c>
      <c r="C908" t="s">
        <v>30</v>
      </c>
      <c r="D908" t="s">
        <v>29</v>
      </c>
      <c r="E908" t="s">
        <v>12</v>
      </c>
      <c r="F908">
        <v>11519000000</v>
      </c>
      <c r="G908" s="1">
        <v>43282</v>
      </c>
      <c r="H908" t="s">
        <v>13</v>
      </c>
      <c r="I908" t="s">
        <v>14</v>
      </c>
    </row>
    <row r="909" spans="1:9" x14ac:dyDescent="0.2">
      <c r="A909">
        <v>320193</v>
      </c>
      <c r="B909" t="s">
        <v>9</v>
      </c>
      <c r="C909" t="s">
        <v>30</v>
      </c>
      <c r="D909" t="s">
        <v>29</v>
      </c>
      <c r="E909" t="s">
        <v>12</v>
      </c>
      <c r="F909">
        <v>59531000000</v>
      </c>
      <c r="G909" s="1">
        <v>43373</v>
      </c>
      <c r="H909" t="s">
        <v>13</v>
      </c>
      <c r="I909" t="s">
        <v>14</v>
      </c>
    </row>
    <row r="910" spans="1:9" x14ac:dyDescent="0.2">
      <c r="A910">
        <v>320193</v>
      </c>
      <c r="B910" t="s">
        <v>9</v>
      </c>
      <c r="C910" t="s">
        <v>30</v>
      </c>
      <c r="D910" t="s">
        <v>29</v>
      </c>
      <c r="E910" t="s">
        <v>12</v>
      </c>
      <c r="F910">
        <v>59531000000</v>
      </c>
      <c r="G910" s="1">
        <v>43373</v>
      </c>
      <c r="H910" t="s">
        <v>13</v>
      </c>
      <c r="I910" t="s">
        <v>14</v>
      </c>
    </row>
    <row r="911" spans="1:9" x14ac:dyDescent="0.2">
      <c r="A911">
        <v>320193</v>
      </c>
      <c r="B911" t="s">
        <v>9</v>
      </c>
      <c r="C911" t="s">
        <v>30</v>
      </c>
      <c r="D911" t="s">
        <v>29</v>
      </c>
      <c r="E911" t="s">
        <v>12</v>
      </c>
      <c r="F911">
        <v>59531000000</v>
      </c>
      <c r="G911" s="1">
        <v>43373</v>
      </c>
      <c r="H911" t="s">
        <v>13</v>
      </c>
      <c r="I911" t="s">
        <v>14</v>
      </c>
    </row>
    <row r="912" spans="1:9" x14ac:dyDescent="0.2">
      <c r="A912">
        <v>320193</v>
      </c>
      <c r="B912" t="s">
        <v>9</v>
      </c>
      <c r="C912" t="s">
        <v>30</v>
      </c>
      <c r="D912" t="s">
        <v>29</v>
      </c>
      <c r="E912" t="s">
        <v>12</v>
      </c>
      <c r="F912">
        <v>59531000000</v>
      </c>
      <c r="G912" s="1">
        <v>43373</v>
      </c>
      <c r="H912" t="s">
        <v>13</v>
      </c>
      <c r="I912" t="s">
        <v>14</v>
      </c>
    </row>
    <row r="913" spans="1:9" x14ac:dyDescent="0.2">
      <c r="A913">
        <v>320193</v>
      </c>
      <c r="B913" t="s">
        <v>9</v>
      </c>
      <c r="C913" t="s">
        <v>30</v>
      </c>
      <c r="D913" t="s">
        <v>29</v>
      </c>
      <c r="E913" t="s">
        <v>12</v>
      </c>
      <c r="F913">
        <v>14125000000</v>
      </c>
      <c r="G913" s="1">
        <v>43373</v>
      </c>
      <c r="H913" t="s">
        <v>13</v>
      </c>
      <c r="I913" t="s">
        <v>14</v>
      </c>
    </row>
    <row r="914" spans="1:9" x14ac:dyDescent="0.2">
      <c r="A914">
        <v>320193</v>
      </c>
      <c r="B914" t="s">
        <v>100</v>
      </c>
      <c r="C914" t="s">
        <v>30</v>
      </c>
      <c r="D914" t="s">
        <v>29</v>
      </c>
      <c r="E914" t="s">
        <v>12</v>
      </c>
      <c r="F914">
        <v>59531000000</v>
      </c>
      <c r="G914" s="1">
        <v>43373</v>
      </c>
      <c r="H914" t="s">
        <v>13</v>
      </c>
      <c r="I914" t="s">
        <v>14</v>
      </c>
    </row>
    <row r="915" spans="1:9" x14ac:dyDescent="0.2">
      <c r="A915">
        <v>320193</v>
      </c>
      <c r="B915" t="s">
        <v>100</v>
      </c>
      <c r="C915" t="s">
        <v>30</v>
      </c>
      <c r="D915" t="s">
        <v>29</v>
      </c>
      <c r="E915" t="s">
        <v>12</v>
      </c>
      <c r="F915">
        <v>59531000000</v>
      </c>
      <c r="G915" s="1">
        <v>43373</v>
      </c>
      <c r="H915" t="s">
        <v>13</v>
      </c>
      <c r="I915" t="s">
        <v>14</v>
      </c>
    </row>
    <row r="916" spans="1:9" x14ac:dyDescent="0.2">
      <c r="A916">
        <v>320193</v>
      </c>
      <c r="B916" t="s">
        <v>100</v>
      </c>
      <c r="C916" t="s">
        <v>30</v>
      </c>
      <c r="D916" t="s">
        <v>29</v>
      </c>
      <c r="E916" t="s">
        <v>12</v>
      </c>
      <c r="F916">
        <v>59531000000</v>
      </c>
      <c r="G916" s="1">
        <v>43373</v>
      </c>
      <c r="H916" t="s">
        <v>13</v>
      </c>
      <c r="I916" t="s">
        <v>14</v>
      </c>
    </row>
    <row r="917" spans="1:9" x14ac:dyDescent="0.2">
      <c r="A917">
        <v>320193</v>
      </c>
      <c r="B917" t="s">
        <v>100</v>
      </c>
      <c r="C917" t="s">
        <v>30</v>
      </c>
      <c r="D917" t="s">
        <v>29</v>
      </c>
      <c r="E917" t="s">
        <v>12</v>
      </c>
      <c r="F917">
        <v>59531000000</v>
      </c>
      <c r="G917" s="1">
        <v>43373</v>
      </c>
      <c r="H917" t="s">
        <v>13</v>
      </c>
      <c r="I917" t="s">
        <v>14</v>
      </c>
    </row>
    <row r="918" spans="1:9" x14ac:dyDescent="0.2">
      <c r="A918">
        <v>320193</v>
      </c>
      <c r="B918" t="s">
        <v>9</v>
      </c>
      <c r="C918" t="s">
        <v>30</v>
      </c>
      <c r="D918" t="s">
        <v>29</v>
      </c>
      <c r="E918" t="s">
        <v>12</v>
      </c>
      <c r="F918">
        <v>19965000000</v>
      </c>
      <c r="G918" s="1">
        <v>43464</v>
      </c>
      <c r="H918" t="s">
        <v>13</v>
      </c>
      <c r="I918" t="s">
        <v>14</v>
      </c>
    </row>
    <row r="919" spans="1:9" x14ac:dyDescent="0.2">
      <c r="A919">
        <v>320193</v>
      </c>
      <c r="B919" t="s">
        <v>100</v>
      </c>
      <c r="C919" t="s">
        <v>30</v>
      </c>
      <c r="D919" t="s">
        <v>29</v>
      </c>
      <c r="E919" t="s">
        <v>12</v>
      </c>
      <c r="F919">
        <v>19965000000</v>
      </c>
      <c r="G919" s="1">
        <v>43464</v>
      </c>
      <c r="H919" t="s">
        <v>13</v>
      </c>
      <c r="I919" t="s">
        <v>14</v>
      </c>
    </row>
    <row r="920" spans="1:9" x14ac:dyDescent="0.2">
      <c r="A920">
        <v>320193</v>
      </c>
      <c r="B920" t="s">
        <v>9</v>
      </c>
      <c r="C920" t="s">
        <v>30</v>
      </c>
      <c r="D920" t="s">
        <v>29</v>
      </c>
      <c r="E920" t="s">
        <v>12</v>
      </c>
      <c r="F920">
        <v>11561000000</v>
      </c>
      <c r="G920" s="1">
        <v>43555</v>
      </c>
      <c r="H920" t="s">
        <v>13</v>
      </c>
      <c r="I920" t="s">
        <v>14</v>
      </c>
    </row>
    <row r="921" spans="1:9" x14ac:dyDescent="0.2">
      <c r="A921">
        <v>320193</v>
      </c>
      <c r="B921" t="s">
        <v>100</v>
      </c>
      <c r="C921" t="s">
        <v>30</v>
      </c>
      <c r="D921" t="s">
        <v>29</v>
      </c>
      <c r="E921" t="s">
        <v>12</v>
      </c>
      <c r="F921">
        <v>11561000000</v>
      </c>
      <c r="G921" s="1">
        <v>43555</v>
      </c>
      <c r="H921" t="s">
        <v>13</v>
      </c>
      <c r="I921" t="s">
        <v>14</v>
      </c>
    </row>
    <row r="922" spans="1:9" x14ac:dyDescent="0.2">
      <c r="A922">
        <v>320193</v>
      </c>
      <c r="B922" t="s">
        <v>9</v>
      </c>
      <c r="C922" t="s">
        <v>30</v>
      </c>
      <c r="D922" t="s">
        <v>29</v>
      </c>
      <c r="E922" t="s">
        <v>12</v>
      </c>
      <c r="F922">
        <v>10044000000</v>
      </c>
      <c r="G922" s="1">
        <v>43646</v>
      </c>
      <c r="H922" t="s">
        <v>13</v>
      </c>
      <c r="I922" t="s">
        <v>14</v>
      </c>
    </row>
    <row r="923" spans="1:9" x14ac:dyDescent="0.2">
      <c r="A923">
        <v>320193</v>
      </c>
      <c r="B923" t="s">
        <v>100</v>
      </c>
      <c r="C923" t="s">
        <v>30</v>
      </c>
      <c r="D923" t="s">
        <v>29</v>
      </c>
      <c r="E923" t="s">
        <v>12</v>
      </c>
      <c r="F923">
        <v>10044000000</v>
      </c>
      <c r="G923" s="1">
        <v>43646</v>
      </c>
      <c r="H923" t="s">
        <v>13</v>
      </c>
      <c r="I923" t="s">
        <v>14</v>
      </c>
    </row>
    <row r="924" spans="1:9" x14ac:dyDescent="0.2">
      <c r="A924">
        <v>320193</v>
      </c>
      <c r="B924" t="s">
        <v>9</v>
      </c>
      <c r="C924" t="s">
        <v>30</v>
      </c>
      <c r="D924" t="s">
        <v>29</v>
      </c>
      <c r="E924" t="s">
        <v>12</v>
      </c>
      <c r="F924">
        <v>55256000000</v>
      </c>
      <c r="G924" s="1">
        <v>43737</v>
      </c>
      <c r="H924" t="s">
        <v>13</v>
      </c>
      <c r="I924" t="s">
        <v>14</v>
      </c>
    </row>
    <row r="925" spans="1:9" x14ac:dyDescent="0.2">
      <c r="A925">
        <v>320193</v>
      </c>
      <c r="B925" t="s">
        <v>9</v>
      </c>
      <c r="C925" t="s">
        <v>30</v>
      </c>
      <c r="D925" t="s">
        <v>29</v>
      </c>
      <c r="E925" t="s">
        <v>12</v>
      </c>
      <c r="F925">
        <v>55256000000</v>
      </c>
      <c r="G925" s="1">
        <v>43737</v>
      </c>
      <c r="H925" t="s">
        <v>13</v>
      </c>
      <c r="I925" t="s">
        <v>14</v>
      </c>
    </row>
    <row r="926" spans="1:9" x14ac:dyDescent="0.2">
      <c r="A926">
        <v>320193</v>
      </c>
      <c r="B926" t="s">
        <v>9</v>
      </c>
      <c r="C926" t="s">
        <v>30</v>
      </c>
      <c r="D926" t="s">
        <v>29</v>
      </c>
      <c r="E926" t="s">
        <v>12</v>
      </c>
      <c r="F926">
        <v>55256000000</v>
      </c>
      <c r="G926" s="1">
        <v>43737</v>
      </c>
      <c r="H926" t="s">
        <v>13</v>
      </c>
      <c r="I926" t="s">
        <v>14</v>
      </c>
    </row>
    <row r="927" spans="1:9" x14ac:dyDescent="0.2">
      <c r="A927">
        <v>320193</v>
      </c>
      <c r="B927" t="s">
        <v>9</v>
      </c>
      <c r="C927" t="s">
        <v>30</v>
      </c>
      <c r="D927" t="s">
        <v>29</v>
      </c>
      <c r="E927" t="s">
        <v>12</v>
      </c>
      <c r="F927">
        <v>55256000000</v>
      </c>
      <c r="G927" s="1">
        <v>43737</v>
      </c>
      <c r="H927" t="s">
        <v>13</v>
      </c>
      <c r="I927" t="s">
        <v>14</v>
      </c>
    </row>
    <row r="928" spans="1:9" x14ac:dyDescent="0.2">
      <c r="A928">
        <v>320193</v>
      </c>
      <c r="B928" t="s">
        <v>9</v>
      </c>
      <c r="C928" t="s">
        <v>30</v>
      </c>
      <c r="D928" t="s">
        <v>29</v>
      </c>
      <c r="E928" t="s">
        <v>12</v>
      </c>
      <c r="F928">
        <v>13686000000</v>
      </c>
      <c r="G928" s="1">
        <v>43737</v>
      </c>
      <c r="H928" t="s">
        <v>13</v>
      </c>
      <c r="I928" t="s">
        <v>14</v>
      </c>
    </row>
    <row r="929" spans="1:9" x14ac:dyDescent="0.2">
      <c r="A929">
        <v>320193</v>
      </c>
      <c r="B929" t="s">
        <v>99</v>
      </c>
      <c r="C929" t="s">
        <v>30</v>
      </c>
      <c r="D929" t="s">
        <v>29</v>
      </c>
      <c r="E929" t="s">
        <v>12</v>
      </c>
      <c r="F929">
        <v>55256000000</v>
      </c>
      <c r="G929" s="1">
        <v>43737</v>
      </c>
      <c r="H929" t="s">
        <v>13</v>
      </c>
      <c r="I929" t="s">
        <v>14</v>
      </c>
    </row>
    <row r="930" spans="1:9" x14ac:dyDescent="0.2">
      <c r="A930">
        <v>320193</v>
      </c>
      <c r="B930" t="s">
        <v>99</v>
      </c>
      <c r="C930" t="s">
        <v>30</v>
      </c>
      <c r="D930" t="s">
        <v>29</v>
      </c>
      <c r="E930" t="s">
        <v>12</v>
      </c>
      <c r="F930">
        <v>55256000000</v>
      </c>
      <c r="G930" s="1">
        <v>43737</v>
      </c>
      <c r="H930" t="s">
        <v>13</v>
      </c>
      <c r="I930" t="s">
        <v>14</v>
      </c>
    </row>
    <row r="931" spans="1:9" x14ac:dyDescent="0.2">
      <c r="A931">
        <v>320193</v>
      </c>
      <c r="B931" t="s">
        <v>99</v>
      </c>
      <c r="C931" t="s">
        <v>30</v>
      </c>
      <c r="D931" t="s">
        <v>29</v>
      </c>
      <c r="E931" t="s">
        <v>12</v>
      </c>
      <c r="F931">
        <v>55256000000</v>
      </c>
      <c r="G931" s="1">
        <v>43737</v>
      </c>
      <c r="H931" t="s">
        <v>13</v>
      </c>
      <c r="I931" t="s">
        <v>14</v>
      </c>
    </row>
    <row r="932" spans="1:9" x14ac:dyDescent="0.2">
      <c r="A932">
        <v>320193</v>
      </c>
      <c r="B932" t="s">
        <v>99</v>
      </c>
      <c r="C932" t="s">
        <v>30</v>
      </c>
      <c r="D932" t="s">
        <v>29</v>
      </c>
      <c r="E932" t="s">
        <v>12</v>
      </c>
      <c r="F932">
        <v>55256000000</v>
      </c>
      <c r="G932" s="1">
        <v>43737</v>
      </c>
      <c r="H932" t="s">
        <v>13</v>
      </c>
      <c r="I932" t="s">
        <v>14</v>
      </c>
    </row>
    <row r="933" spans="1:9" x14ac:dyDescent="0.2">
      <c r="A933">
        <v>320193</v>
      </c>
      <c r="B933" t="s">
        <v>100</v>
      </c>
      <c r="C933" t="s">
        <v>30</v>
      </c>
      <c r="D933" t="s">
        <v>29</v>
      </c>
      <c r="E933" t="s">
        <v>12</v>
      </c>
      <c r="F933">
        <v>55256000000</v>
      </c>
      <c r="G933" s="1">
        <v>43737</v>
      </c>
      <c r="H933" t="s">
        <v>13</v>
      </c>
      <c r="I933" t="s">
        <v>14</v>
      </c>
    </row>
    <row r="934" spans="1:9" x14ac:dyDescent="0.2">
      <c r="A934">
        <v>320193</v>
      </c>
      <c r="B934" t="s">
        <v>100</v>
      </c>
      <c r="C934" t="s">
        <v>30</v>
      </c>
      <c r="D934" t="s">
        <v>29</v>
      </c>
      <c r="E934" t="s">
        <v>12</v>
      </c>
      <c r="F934">
        <v>55256000000</v>
      </c>
      <c r="G934" s="1">
        <v>43737</v>
      </c>
      <c r="H934" t="s">
        <v>13</v>
      </c>
      <c r="I934" t="s">
        <v>14</v>
      </c>
    </row>
    <row r="935" spans="1:9" x14ac:dyDescent="0.2">
      <c r="A935">
        <v>320193</v>
      </c>
      <c r="B935" t="s">
        <v>100</v>
      </c>
      <c r="C935" t="s">
        <v>30</v>
      </c>
      <c r="D935" t="s">
        <v>29</v>
      </c>
      <c r="E935" t="s">
        <v>12</v>
      </c>
      <c r="F935">
        <v>55256000000</v>
      </c>
      <c r="G935" s="1">
        <v>43737</v>
      </c>
      <c r="H935" t="s">
        <v>13</v>
      </c>
      <c r="I935" t="s">
        <v>14</v>
      </c>
    </row>
    <row r="936" spans="1:9" x14ac:dyDescent="0.2">
      <c r="A936">
        <v>320193</v>
      </c>
      <c r="B936" t="s">
        <v>100</v>
      </c>
      <c r="C936" t="s">
        <v>30</v>
      </c>
      <c r="D936" t="s">
        <v>29</v>
      </c>
      <c r="E936" t="s">
        <v>12</v>
      </c>
      <c r="F936">
        <v>55256000000</v>
      </c>
      <c r="G936" s="1">
        <v>43737</v>
      </c>
      <c r="H936" t="s">
        <v>13</v>
      </c>
      <c r="I936" t="s">
        <v>14</v>
      </c>
    </row>
    <row r="937" spans="1:9" x14ac:dyDescent="0.2">
      <c r="A937">
        <v>320193</v>
      </c>
      <c r="B937" t="s">
        <v>100</v>
      </c>
      <c r="C937" t="s">
        <v>30</v>
      </c>
      <c r="D937" t="s">
        <v>29</v>
      </c>
      <c r="E937" t="s">
        <v>12</v>
      </c>
      <c r="F937">
        <v>13686000000</v>
      </c>
      <c r="G937" s="1">
        <v>43737</v>
      </c>
      <c r="H937" t="s">
        <v>13</v>
      </c>
      <c r="I937" t="s">
        <v>14</v>
      </c>
    </row>
    <row r="938" spans="1:9" x14ac:dyDescent="0.2">
      <c r="A938">
        <v>320193</v>
      </c>
      <c r="B938" t="s">
        <v>100</v>
      </c>
      <c r="C938" t="s">
        <v>30</v>
      </c>
      <c r="D938" t="s">
        <v>29</v>
      </c>
      <c r="E938" t="s">
        <v>12</v>
      </c>
      <c r="F938">
        <v>22236000000</v>
      </c>
      <c r="G938" s="1">
        <v>43828</v>
      </c>
      <c r="H938" t="s">
        <v>13</v>
      </c>
      <c r="I938" t="s">
        <v>14</v>
      </c>
    </row>
    <row r="939" spans="1:9" x14ac:dyDescent="0.2">
      <c r="A939">
        <v>320193</v>
      </c>
      <c r="B939" t="s">
        <v>100</v>
      </c>
      <c r="C939" t="s">
        <v>30</v>
      </c>
      <c r="D939" t="s">
        <v>29</v>
      </c>
      <c r="E939" t="s">
        <v>12</v>
      </c>
      <c r="F939">
        <v>11249000000</v>
      </c>
      <c r="G939" s="1">
        <v>43919</v>
      </c>
      <c r="H939" t="s">
        <v>13</v>
      </c>
      <c r="I939" t="s">
        <v>14</v>
      </c>
    </row>
    <row r="940" spans="1:9" x14ac:dyDescent="0.2">
      <c r="A940">
        <v>320193</v>
      </c>
      <c r="B940" t="s">
        <v>100</v>
      </c>
      <c r="C940" t="s">
        <v>30</v>
      </c>
      <c r="D940" t="s">
        <v>29</v>
      </c>
      <c r="E940" t="s">
        <v>12</v>
      </c>
      <c r="F940">
        <v>11253000000</v>
      </c>
      <c r="G940" s="1">
        <v>44010</v>
      </c>
      <c r="H940" t="s">
        <v>13</v>
      </c>
      <c r="I940" t="s">
        <v>14</v>
      </c>
    </row>
    <row r="941" spans="1:9" x14ac:dyDescent="0.2">
      <c r="A941">
        <v>320193</v>
      </c>
      <c r="B941" t="s">
        <v>97</v>
      </c>
      <c r="C941" t="s">
        <v>30</v>
      </c>
      <c r="D941" t="s">
        <v>29</v>
      </c>
      <c r="E941" t="s">
        <v>12</v>
      </c>
      <c r="F941">
        <v>57411000000</v>
      </c>
      <c r="G941" s="1">
        <v>44101</v>
      </c>
      <c r="H941" t="s">
        <v>13</v>
      </c>
      <c r="I941" t="s">
        <v>14</v>
      </c>
    </row>
    <row r="942" spans="1:9" x14ac:dyDescent="0.2">
      <c r="A942">
        <v>320193</v>
      </c>
      <c r="B942" t="s">
        <v>97</v>
      </c>
      <c r="C942" t="s">
        <v>30</v>
      </c>
      <c r="D942" t="s">
        <v>29</v>
      </c>
      <c r="E942" t="s">
        <v>12</v>
      </c>
      <c r="F942">
        <v>57411000000</v>
      </c>
      <c r="G942" s="1">
        <v>44101</v>
      </c>
      <c r="H942" t="s">
        <v>13</v>
      </c>
      <c r="I942" t="s">
        <v>14</v>
      </c>
    </row>
    <row r="943" spans="1:9" x14ac:dyDescent="0.2">
      <c r="A943">
        <v>320193</v>
      </c>
      <c r="B943" t="s">
        <v>97</v>
      </c>
      <c r="C943" t="s">
        <v>30</v>
      </c>
      <c r="D943" t="s">
        <v>29</v>
      </c>
      <c r="E943" t="s">
        <v>12</v>
      </c>
      <c r="F943">
        <v>57411000000</v>
      </c>
      <c r="G943" s="1">
        <v>44101</v>
      </c>
      <c r="H943" t="s">
        <v>13</v>
      </c>
      <c r="I943" t="s">
        <v>14</v>
      </c>
    </row>
    <row r="944" spans="1:9" x14ac:dyDescent="0.2">
      <c r="A944">
        <v>320193</v>
      </c>
      <c r="B944" t="s">
        <v>97</v>
      </c>
      <c r="C944" t="s">
        <v>30</v>
      </c>
      <c r="D944" t="s">
        <v>29</v>
      </c>
      <c r="E944" t="s">
        <v>12</v>
      </c>
      <c r="F944">
        <v>57411000000</v>
      </c>
      <c r="G944" s="1">
        <v>44101</v>
      </c>
      <c r="H944" t="s">
        <v>13</v>
      </c>
      <c r="I944" t="s">
        <v>14</v>
      </c>
    </row>
    <row r="945" spans="1:9" x14ac:dyDescent="0.2">
      <c r="A945">
        <v>320193</v>
      </c>
      <c r="B945" t="s">
        <v>99</v>
      </c>
      <c r="C945" t="s">
        <v>30</v>
      </c>
      <c r="D945" t="s">
        <v>29</v>
      </c>
      <c r="E945" t="s">
        <v>12</v>
      </c>
      <c r="F945">
        <v>57411000000</v>
      </c>
      <c r="G945" s="1">
        <v>44101</v>
      </c>
      <c r="H945" t="s">
        <v>13</v>
      </c>
      <c r="I945" t="s">
        <v>14</v>
      </c>
    </row>
    <row r="946" spans="1:9" x14ac:dyDescent="0.2">
      <c r="A946">
        <v>320193</v>
      </c>
      <c r="B946" t="s">
        <v>99</v>
      </c>
      <c r="C946" t="s">
        <v>30</v>
      </c>
      <c r="D946" t="s">
        <v>29</v>
      </c>
      <c r="E946" t="s">
        <v>12</v>
      </c>
      <c r="F946">
        <v>57411000000</v>
      </c>
      <c r="G946" s="1">
        <v>44101</v>
      </c>
      <c r="H946" t="s">
        <v>13</v>
      </c>
      <c r="I946" t="s">
        <v>14</v>
      </c>
    </row>
    <row r="947" spans="1:9" x14ac:dyDescent="0.2">
      <c r="A947">
        <v>320193</v>
      </c>
      <c r="B947" t="s">
        <v>99</v>
      </c>
      <c r="C947" t="s">
        <v>30</v>
      </c>
      <c r="D947" t="s">
        <v>29</v>
      </c>
      <c r="E947" t="s">
        <v>12</v>
      </c>
      <c r="F947">
        <v>57411000000</v>
      </c>
      <c r="G947" s="1">
        <v>44101</v>
      </c>
      <c r="H947" t="s">
        <v>13</v>
      </c>
      <c r="I947" t="s">
        <v>14</v>
      </c>
    </row>
    <row r="948" spans="1:9" x14ac:dyDescent="0.2">
      <c r="A948">
        <v>320193</v>
      </c>
      <c r="B948" t="s">
        <v>99</v>
      </c>
      <c r="C948" t="s">
        <v>30</v>
      </c>
      <c r="D948" t="s">
        <v>29</v>
      </c>
      <c r="E948" t="s">
        <v>12</v>
      </c>
      <c r="F948">
        <v>57411000000</v>
      </c>
      <c r="G948" s="1">
        <v>44101</v>
      </c>
      <c r="H948" t="s">
        <v>13</v>
      </c>
      <c r="I948" t="s">
        <v>14</v>
      </c>
    </row>
    <row r="949" spans="1:9" x14ac:dyDescent="0.2">
      <c r="A949">
        <v>320193</v>
      </c>
      <c r="B949" t="s">
        <v>100</v>
      </c>
      <c r="C949" t="s">
        <v>30</v>
      </c>
      <c r="D949" t="s">
        <v>29</v>
      </c>
      <c r="E949" t="s">
        <v>12</v>
      </c>
      <c r="F949">
        <v>57411000000</v>
      </c>
      <c r="G949" s="1">
        <v>44101</v>
      </c>
      <c r="H949" t="s">
        <v>13</v>
      </c>
      <c r="I949" t="s">
        <v>14</v>
      </c>
    </row>
    <row r="950" spans="1:9" x14ac:dyDescent="0.2">
      <c r="A950">
        <v>320193</v>
      </c>
      <c r="B950" t="s">
        <v>100</v>
      </c>
      <c r="C950" t="s">
        <v>30</v>
      </c>
      <c r="D950" t="s">
        <v>29</v>
      </c>
      <c r="E950" t="s">
        <v>12</v>
      </c>
      <c r="F950">
        <v>57411000000</v>
      </c>
      <c r="G950" s="1">
        <v>44101</v>
      </c>
      <c r="H950" t="s">
        <v>13</v>
      </c>
      <c r="I950" t="s">
        <v>14</v>
      </c>
    </row>
    <row r="951" spans="1:9" x14ac:dyDescent="0.2">
      <c r="A951">
        <v>320193</v>
      </c>
      <c r="B951" t="s">
        <v>100</v>
      </c>
      <c r="C951" t="s">
        <v>30</v>
      </c>
      <c r="D951" t="s">
        <v>29</v>
      </c>
      <c r="E951" t="s">
        <v>12</v>
      </c>
      <c r="F951">
        <v>57411000000</v>
      </c>
      <c r="G951" s="1">
        <v>44101</v>
      </c>
      <c r="H951" t="s">
        <v>13</v>
      </c>
      <c r="I951" t="s">
        <v>14</v>
      </c>
    </row>
    <row r="952" spans="1:9" x14ac:dyDescent="0.2">
      <c r="A952">
        <v>320193</v>
      </c>
      <c r="B952" t="s">
        <v>100</v>
      </c>
      <c r="C952" t="s">
        <v>30</v>
      </c>
      <c r="D952" t="s">
        <v>29</v>
      </c>
      <c r="E952" t="s">
        <v>12</v>
      </c>
      <c r="F952">
        <v>57411000000</v>
      </c>
      <c r="G952" s="1">
        <v>44101</v>
      </c>
      <c r="H952" t="s">
        <v>13</v>
      </c>
      <c r="I952" t="s">
        <v>14</v>
      </c>
    </row>
    <row r="953" spans="1:9" x14ac:dyDescent="0.2">
      <c r="A953">
        <v>320193</v>
      </c>
      <c r="B953" t="s">
        <v>100</v>
      </c>
      <c r="C953" t="s">
        <v>30</v>
      </c>
      <c r="D953" t="s">
        <v>29</v>
      </c>
      <c r="E953" t="s">
        <v>12</v>
      </c>
      <c r="F953">
        <v>12673000000</v>
      </c>
      <c r="G953" s="1">
        <v>44101</v>
      </c>
      <c r="H953" t="s">
        <v>13</v>
      </c>
      <c r="I953" t="s">
        <v>14</v>
      </c>
    </row>
    <row r="954" spans="1:9" x14ac:dyDescent="0.2">
      <c r="A954">
        <v>320193</v>
      </c>
      <c r="B954" t="s">
        <v>97</v>
      </c>
      <c r="C954" t="s">
        <v>30</v>
      </c>
      <c r="D954" t="s">
        <v>29</v>
      </c>
      <c r="E954" t="s">
        <v>12</v>
      </c>
      <c r="F954">
        <v>94680000000</v>
      </c>
      <c r="G954" s="1">
        <v>44465</v>
      </c>
      <c r="H954" t="s">
        <v>13</v>
      </c>
      <c r="I954" t="s">
        <v>14</v>
      </c>
    </row>
    <row r="955" spans="1:9" x14ac:dyDescent="0.2">
      <c r="A955">
        <v>320193</v>
      </c>
      <c r="B955" t="s">
        <v>97</v>
      </c>
      <c r="C955" t="s">
        <v>30</v>
      </c>
      <c r="D955" t="s">
        <v>29</v>
      </c>
      <c r="E955" t="s">
        <v>12</v>
      </c>
      <c r="F955">
        <v>94680000000</v>
      </c>
      <c r="G955" s="1">
        <v>44465</v>
      </c>
      <c r="H955" t="s">
        <v>13</v>
      </c>
      <c r="I955" t="s">
        <v>14</v>
      </c>
    </row>
    <row r="956" spans="1:9" x14ac:dyDescent="0.2">
      <c r="A956">
        <v>320193</v>
      </c>
      <c r="B956" t="s">
        <v>97</v>
      </c>
      <c r="C956" t="s">
        <v>30</v>
      </c>
      <c r="D956" t="s">
        <v>29</v>
      </c>
      <c r="E956" t="s">
        <v>12</v>
      </c>
      <c r="F956">
        <v>94680000000</v>
      </c>
      <c r="G956" s="1">
        <v>44465</v>
      </c>
      <c r="H956" t="s">
        <v>13</v>
      </c>
      <c r="I956" t="s">
        <v>14</v>
      </c>
    </row>
    <row r="957" spans="1:9" x14ac:dyDescent="0.2">
      <c r="A957">
        <v>320193</v>
      </c>
      <c r="B957" t="s">
        <v>97</v>
      </c>
      <c r="C957" t="s">
        <v>30</v>
      </c>
      <c r="D957" t="s">
        <v>29</v>
      </c>
      <c r="E957" t="s">
        <v>12</v>
      </c>
      <c r="F957">
        <v>94680000000</v>
      </c>
      <c r="G957" s="1">
        <v>44465</v>
      </c>
      <c r="H957" t="s">
        <v>13</v>
      </c>
      <c r="I957" t="s">
        <v>14</v>
      </c>
    </row>
    <row r="958" spans="1:9" x14ac:dyDescent="0.2">
      <c r="A958">
        <v>320193</v>
      </c>
      <c r="B958" t="s">
        <v>99</v>
      </c>
      <c r="C958" t="s">
        <v>30</v>
      </c>
      <c r="D958" t="s">
        <v>29</v>
      </c>
      <c r="E958" t="s">
        <v>12</v>
      </c>
      <c r="F958">
        <v>94680000000</v>
      </c>
      <c r="G958" s="1">
        <v>44465</v>
      </c>
      <c r="H958" t="s">
        <v>13</v>
      </c>
      <c r="I958" t="s">
        <v>14</v>
      </c>
    </row>
    <row r="959" spans="1:9" x14ac:dyDescent="0.2">
      <c r="A959">
        <v>320193</v>
      </c>
      <c r="B959" t="s">
        <v>99</v>
      </c>
      <c r="C959" t="s">
        <v>30</v>
      </c>
      <c r="D959" t="s">
        <v>29</v>
      </c>
      <c r="E959" t="s">
        <v>12</v>
      </c>
      <c r="F959">
        <v>94680000000</v>
      </c>
      <c r="G959" s="1">
        <v>44465</v>
      </c>
      <c r="H959" t="s">
        <v>13</v>
      </c>
      <c r="I959" t="s">
        <v>14</v>
      </c>
    </row>
    <row r="960" spans="1:9" x14ac:dyDescent="0.2">
      <c r="A960">
        <v>320193</v>
      </c>
      <c r="B960" t="s">
        <v>99</v>
      </c>
      <c r="C960" t="s">
        <v>30</v>
      </c>
      <c r="D960" t="s">
        <v>29</v>
      </c>
      <c r="E960" t="s">
        <v>12</v>
      </c>
      <c r="F960">
        <v>94680000000</v>
      </c>
      <c r="G960" s="1">
        <v>44465</v>
      </c>
      <c r="H960" t="s">
        <v>13</v>
      </c>
      <c r="I960" t="s">
        <v>14</v>
      </c>
    </row>
    <row r="961" spans="1:9" x14ac:dyDescent="0.2">
      <c r="A961">
        <v>320193</v>
      </c>
      <c r="B961" t="s">
        <v>99</v>
      </c>
      <c r="C961" t="s">
        <v>30</v>
      </c>
      <c r="D961" t="s">
        <v>29</v>
      </c>
      <c r="E961" t="s">
        <v>12</v>
      </c>
      <c r="F961">
        <v>94680000000</v>
      </c>
      <c r="G961" s="1">
        <v>44465</v>
      </c>
      <c r="H961" t="s">
        <v>13</v>
      </c>
      <c r="I961" t="s">
        <v>14</v>
      </c>
    </row>
    <row r="962" spans="1:9" x14ac:dyDescent="0.2">
      <c r="A962">
        <v>320193</v>
      </c>
      <c r="B962" t="s">
        <v>101</v>
      </c>
      <c r="C962" t="s">
        <v>30</v>
      </c>
      <c r="D962" t="s">
        <v>29</v>
      </c>
      <c r="E962" t="s">
        <v>12</v>
      </c>
      <c r="F962">
        <v>94680000000</v>
      </c>
      <c r="G962" s="1">
        <v>44465</v>
      </c>
      <c r="H962" t="s">
        <v>13</v>
      </c>
      <c r="I962" t="s">
        <v>14</v>
      </c>
    </row>
    <row r="963" spans="1:9" x14ac:dyDescent="0.2">
      <c r="A963">
        <v>320193</v>
      </c>
      <c r="B963" t="s">
        <v>101</v>
      </c>
      <c r="C963" t="s">
        <v>30</v>
      </c>
      <c r="D963" t="s">
        <v>29</v>
      </c>
      <c r="E963" t="s">
        <v>12</v>
      </c>
      <c r="F963">
        <v>94680000000</v>
      </c>
      <c r="G963" s="1">
        <v>44465</v>
      </c>
      <c r="H963" t="s">
        <v>13</v>
      </c>
      <c r="I963" t="s">
        <v>14</v>
      </c>
    </row>
    <row r="964" spans="1:9" x14ac:dyDescent="0.2">
      <c r="A964">
        <v>320193</v>
      </c>
      <c r="B964" t="s">
        <v>101</v>
      </c>
      <c r="C964" t="s">
        <v>30</v>
      </c>
      <c r="D964" t="s">
        <v>29</v>
      </c>
      <c r="E964" t="s">
        <v>12</v>
      </c>
      <c r="F964">
        <v>94680000000</v>
      </c>
      <c r="G964" s="1">
        <v>44465</v>
      </c>
      <c r="H964" t="s">
        <v>13</v>
      </c>
      <c r="I964" t="s">
        <v>14</v>
      </c>
    </row>
    <row r="965" spans="1:9" x14ac:dyDescent="0.2">
      <c r="A965">
        <v>320193</v>
      </c>
      <c r="B965" t="s">
        <v>101</v>
      </c>
      <c r="C965" t="s">
        <v>30</v>
      </c>
      <c r="D965" t="s">
        <v>29</v>
      </c>
      <c r="E965" t="s">
        <v>12</v>
      </c>
      <c r="F965">
        <v>94680000000</v>
      </c>
      <c r="G965" s="1">
        <v>44465</v>
      </c>
      <c r="H965" t="s">
        <v>13</v>
      </c>
      <c r="I965" t="s">
        <v>14</v>
      </c>
    </row>
    <row r="966" spans="1:9" x14ac:dyDescent="0.2">
      <c r="A966">
        <v>320193</v>
      </c>
      <c r="B966" t="s">
        <v>97</v>
      </c>
      <c r="C966" t="s">
        <v>30</v>
      </c>
      <c r="D966" t="s">
        <v>29</v>
      </c>
      <c r="E966" t="s">
        <v>12</v>
      </c>
      <c r="F966">
        <v>99803000000</v>
      </c>
      <c r="G966" s="1">
        <v>44829</v>
      </c>
      <c r="H966" t="s">
        <v>13</v>
      </c>
      <c r="I966" t="s">
        <v>14</v>
      </c>
    </row>
    <row r="967" spans="1:9" x14ac:dyDescent="0.2">
      <c r="A967">
        <v>320193</v>
      </c>
      <c r="B967" t="s">
        <v>97</v>
      </c>
      <c r="C967" t="s">
        <v>30</v>
      </c>
      <c r="D967" t="s">
        <v>29</v>
      </c>
      <c r="E967" t="s">
        <v>12</v>
      </c>
      <c r="F967">
        <v>99803000000</v>
      </c>
      <c r="G967" s="1">
        <v>44829</v>
      </c>
      <c r="H967" t="s">
        <v>13</v>
      </c>
      <c r="I967" t="s">
        <v>14</v>
      </c>
    </row>
    <row r="968" spans="1:9" x14ac:dyDescent="0.2">
      <c r="A968">
        <v>320193</v>
      </c>
      <c r="B968" t="s">
        <v>97</v>
      </c>
      <c r="C968" t="s">
        <v>30</v>
      </c>
      <c r="D968" t="s">
        <v>29</v>
      </c>
      <c r="E968" t="s">
        <v>12</v>
      </c>
      <c r="F968">
        <v>99803000000</v>
      </c>
      <c r="G968" s="1">
        <v>44829</v>
      </c>
      <c r="H968" t="s">
        <v>13</v>
      </c>
      <c r="I968" t="s">
        <v>14</v>
      </c>
    </row>
    <row r="969" spans="1:9" x14ac:dyDescent="0.2">
      <c r="A969">
        <v>320193</v>
      </c>
      <c r="B969" t="s">
        <v>97</v>
      </c>
      <c r="C969" t="s">
        <v>30</v>
      </c>
      <c r="D969" t="s">
        <v>29</v>
      </c>
      <c r="E969" t="s">
        <v>12</v>
      </c>
      <c r="F969">
        <v>99803000000</v>
      </c>
      <c r="G969" s="1">
        <v>44829</v>
      </c>
      <c r="H969" t="s">
        <v>13</v>
      </c>
      <c r="I969" t="s">
        <v>14</v>
      </c>
    </row>
    <row r="970" spans="1:9" x14ac:dyDescent="0.2">
      <c r="A970">
        <v>320193</v>
      </c>
      <c r="B970" t="s">
        <v>98</v>
      </c>
      <c r="C970" t="s">
        <v>30</v>
      </c>
      <c r="D970" t="s">
        <v>29</v>
      </c>
      <c r="E970" t="s">
        <v>12</v>
      </c>
      <c r="F970">
        <v>99803000000</v>
      </c>
      <c r="G970" s="1">
        <v>44829</v>
      </c>
      <c r="H970" t="s">
        <v>13</v>
      </c>
      <c r="I970" t="s">
        <v>14</v>
      </c>
    </row>
    <row r="971" spans="1:9" x14ac:dyDescent="0.2">
      <c r="A971">
        <v>320193</v>
      </c>
      <c r="B971" t="s">
        <v>98</v>
      </c>
      <c r="C971" t="s">
        <v>30</v>
      </c>
      <c r="D971" t="s">
        <v>29</v>
      </c>
      <c r="E971" t="s">
        <v>12</v>
      </c>
      <c r="F971">
        <v>99803000000</v>
      </c>
      <c r="G971" s="1">
        <v>44829</v>
      </c>
      <c r="H971" t="s">
        <v>13</v>
      </c>
      <c r="I971" t="s">
        <v>14</v>
      </c>
    </row>
    <row r="972" spans="1:9" x14ac:dyDescent="0.2">
      <c r="A972">
        <v>320193</v>
      </c>
      <c r="B972" t="s">
        <v>98</v>
      </c>
      <c r="C972" t="s">
        <v>30</v>
      </c>
      <c r="D972" t="s">
        <v>29</v>
      </c>
      <c r="E972" t="s">
        <v>12</v>
      </c>
      <c r="F972">
        <v>99803000000</v>
      </c>
      <c r="G972" s="1">
        <v>44829</v>
      </c>
      <c r="H972" t="s">
        <v>13</v>
      </c>
      <c r="I972" t="s">
        <v>14</v>
      </c>
    </row>
    <row r="973" spans="1:9" x14ac:dyDescent="0.2">
      <c r="A973">
        <v>320193</v>
      </c>
      <c r="B973" t="s">
        <v>98</v>
      </c>
      <c r="C973" t="s">
        <v>30</v>
      </c>
      <c r="D973" t="s">
        <v>29</v>
      </c>
      <c r="E973" t="s">
        <v>12</v>
      </c>
      <c r="F973">
        <v>99803000000</v>
      </c>
      <c r="G973" s="1">
        <v>44829</v>
      </c>
      <c r="H973" t="s">
        <v>13</v>
      </c>
      <c r="I973" t="s">
        <v>14</v>
      </c>
    </row>
    <row r="974" spans="1:9" x14ac:dyDescent="0.2">
      <c r="A974">
        <v>320193</v>
      </c>
      <c r="B974" t="s">
        <v>101</v>
      </c>
      <c r="C974" t="s">
        <v>30</v>
      </c>
      <c r="D974" t="s">
        <v>29</v>
      </c>
      <c r="E974" t="s">
        <v>12</v>
      </c>
      <c r="F974">
        <v>99803000000</v>
      </c>
      <c r="G974" s="1">
        <v>44829</v>
      </c>
      <c r="H974" t="s">
        <v>13</v>
      </c>
      <c r="I974" t="s">
        <v>14</v>
      </c>
    </row>
    <row r="975" spans="1:9" x14ac:dyDescent="0.2">
      <c r="A975">
        <v>320193</v>
      </c>
      <c r="B975" t="s">
        <v>101</v>
      </c>
      <c r="C975" t="s">
        <v>30</v>
      </c>
      <c r="D975" t="s">
        <v>29</v>
      </c>
      <c r="E975" t="s">
        <v>12</v>
      </c>
      <c r="F975">
        <v>99803000000</v>
      </c>
      <c r="G975" s="1">
        <v>44829</v>
      </c>
      <c r="H975" t="s">
        <v>13</v>
      </c>
      <c r="I975" t="s">
        <v>14</v>
      </c>
    </row>
    <row r="976" spans="1:9" x14ac:dyDescent="0.2">
      <c r="A976">
        <v>320193</v>
      </c>
      <c r="B976" t="s">
        <v>101</v>
      </c>
      <c r="C976" t="s">
        <v>30</v>
      </c>
      <c r="D976" t="s">
        <v>29</v>
      </c>
      <c r="E976" t="s">
        <v>12</v>
      </c>
      <c r="F976">
        <v>99803000000</v>
      </c>
      <c r="G976" s="1">
        <v>44829</v>
      </c>
      <c r="H976" t="s">
        <v>13</v>
      </c>
      <c r="I976" t="s">
        <v>14</v>
      </c>
    </row>
    <row r="977" spans="1:9" x14ac:dyDescent="0.2">
      <c r="A977">
        <v>320193</v>
      </c>
      <c r="B977" t="s">
        <v>101</v>
      </c>
      <c r="C977" t="s">
        <v>30</v>
      </c>
      <c r="D977" t="s">
        <v>29</v>
      </c>
      <c r="E977" t="s">
        <v>12</v>
      </c>
      <c r="F977">
        <v>99803000000</v>
      </c>
      <c r="G977" s="1">
        <v>44829</v>
      </c>
      <c r="H977" t="s">
        <v>13</v>
      </c>
      <c r="I977" t="s">
        <v>14</v>
      </c>
    </row>
    <row r="978" spans="1:9" x14ac:dyDescent="0.2">
      <c r="A978">
        <v>320193</v>
      </c>
      <c r="B978" t="s">
        <v>88</v>
      </c>
      <c r="C978" t="s">
        <v>30</v>
      </c>
      <c r="D978" t="s">
        <v>29</v>
      </c>
      <c r="E978" t="s">
        <v>12</v>
      </c>
      <c r="F978">
        <v>96995000000</v>
      </c>
      <c r="G978" s="1">
        <v>45200</v>
      </c>
      <c r="H978" t="s">
        <v>13</v>
      </c>
      <c r="I978" t="s">
        <v>14</v>
      </c>
    </row>
    <row r="979" spans="1:9" x14ac:dyDescent="0.2">
      <c r="A979">
        <v>320193</v>
      </c>
      <c r="B979" t="s">
        <v>88</v>
      </c>
      <c r="C979" t="s">
        <v>30</v>
      </c>
      <c r="D979" t="s">
        <v>29</v>
      </c>
      <c r="E979" t="s">
        <v>12</v>
      </c>
      <c r="F979">
        <v>96995000000</v>
      </c>
      <c r="G979" s="1">
        <v>45200</v>
      </c>
      <c r="H979" t="s">
        <v>13</v>
      </c>
      <c r="I979" t="s">
        <v>14</v>
      </c>
    </row>
    <row r="980" spans="1:9" x14ac:dyDescent="0.2">
      <c r="A980">
        <v>320193</v>
      </c>
      <c r="B980" t="s">
        <v>88</v>
      </c>
      <c r="C980" t="s">
        <v>30</v>
      </c>
      <c r="D980" t="s">
        <v>29</v>
      </c>
      <c r="E980" t="s">
        <v>12</v>
      </c>
      <c r="F980">
        <v>96995000000</v>
      </c>
      <c r="G980" s="1">
        <v>45200</v>
      </c>
      <c r="H980" t="s">
        <v>13</v>
      </c>
      <c r="I980" t="s">
        <v>14</v>
      </c>
    </row>
    <row r="981" spans="1:9" x14ac:dyDescent="0.2">
      <c r="A981">
        <v>320193</v>
      </c>
      <c r="B981" t="s">
        <v>88</v>
      </c>
      <c r="C981" t="s">
        <v>30</v>
      </c>
      <c r="D981" t="s">
        <v>29</v>
      </c>
      <c r="E981" t="s">
        <v>12</v>
      </c>
      <c r="F981">
        <v>96995000000</v>
      </c>
      <c r="G981" s="1">
        <v>45200</v>
      </c>
      <c r="H981" t="s">
        <v>13</v>
      </c>
      <c r="I981" t="s">
        <v>14</v>
      </c>
    </row>
    <row r="982" spans="1:9" x14ac:dyDescent="0.2">
      <c r="A982">
        <v>320193</v>
      </c>
      <c r="B982" t="s">
        <v>98</v>
      </c>
      <c r="C982" t="s">
        <v>30</v>
      </c>
      <c r="D982" t="s">
        <v>29</v>
      </c>
      <c r="E982" t="s">
        <v>12</v>
      </c>
      <c r="F982">
        <v>96995000000</v>
      </c>
      <c r="G982" s="1">
        <v>45200</v>
      </c>
      <c r="H982" t="s">
        <v>13</v>
      </c>
      <c r="I982" t="s">
        <v>14</v>
      </c>
    </row>
    <row r="983" spans="1:9" x14ac:dyDescent="0.2">
      <c r="A983">
        <v>320193</v>
      </c>
      <c r="B983" t="s">
        <v>98</v>
      </c>
      <c r="C983" t="s">
        <v>30</v>
      </c>
      <c r="D983" t="s">
        <v>29</v>
      </c>
      <c r="E983" t="s">
        <v>12</v>
      </c>
      <c r="F983">
        <v>96995000000</v>
      </c>
      <c r="G983" s="1">
        <v>45200</v>
      </c>
      <c r="H983" t="s">
        <v>13</v>
      </c>
      <c r="I983" t="s">
        <v>14</v>
      </c>
    </row>
    <row r="984" spans="1:9" x14ac:dyDescent="0.2">
      <c r="A984">
        <v>320193</v>
      </c>
      <c r="B984" t="s">
        <v>98</v>
      </c>
      <c r="C984" t="s">
        <v>30</v>
      </c>
      <c r="D984" t="s">
        <v>29</v>
      </c>
      <c r="E984" t="s">
        <v>12</v>
      </c>
      <c r="F984">
        <v>96995000000</v>
      </c>
      <c r="G984" s="1">
        <v>45200</v>
      </c>
      <c r="H984" t="s">
        <v>13</v>
      </c>
      <c r="I984" t="s">
        <v>14</v>
      </c>
    </row>
    <row r="985" spans="1:9" x14ac:dyDescent="0.2">
      <c r="A985">
        <v>320193</v>
      </c>
      <c r="B985" t="s">
        <v>98</v>
      </c>
      <c r="C985" t="s">
        <v>30</v>
      </c>
      <c r="D985" t="s">
        <v>29</v>
      </c>
      <c r="E985" t="s">
        <v>12</v>
      </c>
      <c r="F985">
        <v>96995000000</v>
      </c>
      <c r="G985" s="1">
        <v>45200</v>
      </c>
      <c r="H985" t="s">
        <v>13</v>
      </c>
      <c r="I985" t="s">
        <v>14</v>
      </c>
    </row>
    <row r="986" spans="1:9" x14ac:dyDescent="0.2">
      <c r="A986">
        <v>320193</v>
      </c>
      <c r="B986" t="s">
        <v>101</v>
      </c>
      <c r="C986" t="s">
        <v>30</v>
      </c>
      <c r="D986" t="s">
        <v>29</v>
      </c>
      <c r="E986" t="s">
        <v>12</v>
      </c>
      <c r="F986">
        <v>96995000000</v>
      </c>
      <c r="G986" s="1">
        <v>45200</v>
      </c>
      <c r="H986" t="s">
        <v>13</v>
      </c>
      <c r="I986" t="s">
        <v>14</v>
      </c>
    </row>
    <row r="987" spans="1:9" x14ac:dyDescent="0.2">
      <c r="A987">
        <v>320193</v>
      </c>
      <c r="B987" t="s">
        <v>101</v>
      </c>
      <c r="C987" t="s">
        <v>30</v>
      </c>
      <c r="D987" t="s">
        <v>29</v>
      </c>
      <c r="E987" t="s">
        <v>12</v>
      </c>
      <c r="F987">
        <v>96995000000</v>
      </c>
      <c r="G987" s="1">
        <v>45200</v>
      </c>
      <c r="H987" t="s">
        <v>13</v>
      </c>
      <c r="I987" t="s">
        <v>14</v>
      </c>
    </row>
    <row r="988" spans="1:9" x14ac:dyDescent="0.2">
      <c r="A988">
        <v>320193</v>
      </c>
      <c r="B988" t="s">
        <v>101</v>
      </c>
      <c r="C988" t="s">
        <v>30</v>
      </c>
      <c r="D988" t="s">
        <v>29</v>
      </c>
      <c r="E988" t="s">
        <v>12</v>
      </c>
      <c r="F988">
        <v>96995000000</v>
      </c>
      <c r="G988" s="1">
        <v>45200</v>
      </c>
      <c r="H988" t="s">
        <v>13</v>
      </c>
      <c r="I988" t="s">
        <v>14</v>
      </c>
    </row>
    <row r="989" spans="1:9" x14ac:dyDescent="0.2">
      <c r="A989">
        <v>320193</v>
      </c>
      <c r="B989" t="s">
        <v>101</v>
      </c>
      <c r="C989" t="s">
        <v>30</v>
      </c>
      <c r="D989" t="s">
        <v>29</v>
      </c>
      <c r="E989" t="s">
        <v>12</v>
      </c>
      <c r="F989">
        <v>96995000000</v>
      </c>
      <c r="G989" s="1">
        <v>45200</v>
      </c>
      <c r="H989" t="s">
        <v>13</v>
      </c>
      <c r="I989" t="s">
        <v>14</v>
      </c>
    </row>
    <row r="990" spans="1:9" x14ac:dyDescent="0.2">
      <c r="A990">
        <v>320193</v>
      </c>
      <c r="B990" t="s">
        <v>88</v>
      </c>
      <c r="C990" t="s">
        <v>30</v>
      </c>
      <c r="D990" t="s">
        <v>29</v>
      </c>
      <c r="E990" t="s">
        <v>12</v>
      </c>
      <c r="F990">
        <v>93736000000</v>
      </c>
      <c r="G990" s="1">
        <v>45564</v>
      </c>
      <c r="H990" t="s">
        <v>13</v>
      </c>
      <c r="I990" t="s">
        <v>14</v>
      </c>
    </row>
    <row r="991" spans="1:9" x14ac:dyDescent="0.2">
      <c r="A991">
        <v>320193</v>
      </c>
      <c r="B991" t="s">
        <v>88</v>
      </c>
      <c r="C991" t="s">
        <v>30</v>
      </c>
      <c r="D991" t="s">
        <v>29</v>
      </c>
      <c r="E991" t="s">
        <v>12</v>
      </c>
      <c r="F991">
        <v>93736000000</v>
      </c>
      <c r="G991" s="1">
        <v>45564</v>
      </c>
      <c r="H991" t="s">
        <v>13</v>
      </c>
      <c r="I991" t="s">
        <v>14</v>
      </c>
    </row>
    <row r="992" spans="1:9" x14ac:dyDescent="0.2">
      <c r="A992">
        <v>320193</v>
      </c>
      <c r="B992" t="s">
        <v>88</v>
      </c>
      <c r="C992" t="s">
        <v>30</v>
      </c>
      <c r="D992" t="s">
        <v>29</v>
      </c>
      <c r="E992" t="s">
        <v>12</v>
      </c>
      <c r="F992">
        <v>93736000000</v>
      </c>
      <c r="G992" s="1">
        <v>45564</v>
      </c>
      <c r="H992" t="s">
        <v>13</v>
      </c>
      <c r="I992" t="s">
        <v>14</v>
      </c>
    </row>
    <row r="993" spans="1:9" x14ac:dyDescent="0.2">
      <c r="A993">
        <v>320193</v>
      </c>
      <c r="B993" t="s">
        <v>88</v>
      </c>
      <c r="C993" t="s">
        <v>30</v>
      </c>
      <c r="D993" t="s">
        <v>29</v>
      </c>
      <c r="E993" t="s">
        <v>12</v>
      </c>
      <c r="F993">
        <v>93736000000</v>
      </c>
      <c r="G993" s="1">
        <v>45564</v>
      </c>
      <c r="H993" t="s">
        <v>13</v>
      </c>
      <c r="I993" t="s">
        <v>14</v>
      </c>
    </row>
    <row r="994" spans="1:9" x14ac:dyDescent="0.2">
      <c r="A994">
        <v>320193</v>
      </c>
      <c r="B994" t="s">
        <v>98</v>
      </c>
      <c r="C994" t="s">
        <v>30</v>
      </c>
      <c r="D994" t="s">
        <v>29</v>
      </c>
      <c r="E994" t="s">
        <v>12</v>
      </c>
      <c r="F994">
        <v>93736000000</v>
      </c>
      <c r="G994" s="1">
        <v>45564</v>
      </c>
      <c r="H994" t="s">
        <v>13</v>
      </c>
      <c r="I994" t="s">
        <v>14</v>
      </c>
    </row>
    <row r="995" spans="1:9" x14ac:dyDescent="0.2">
      <c r="A995">
        <v>320193</v>
      </c>
      <c r="B995" t="s">
        <v>98</v>
      </c>
      <c r="C995" t="s">
        <v>30</v>
      </c>
      <c r="D995" t="s">
        <v>29</v>
      </c>
      <c r="E995" t="s">
        <v>12</v>
      </c>
      <c r="F995">
        <v>93736000000</v>
      </c>
      <c r="G995" s="1">
        <v>45564</v>
      </c>
      <c r="H995" t="s">
        <v>13</v>
      </c>
      <c r="I995" t="s">
        <v>14</v>
      </c>
    </row>
    <row r="996" spans="1:9" x14ac:dyDescent="0.2">
      <c r="A996">
        <v>320193</v>
      </c>
      <c r="B996" t="s">
        <v>98</v>
      </c>
      <c r="C996" t="s">
        <v>30</v>
      </c>
      <c r="D996" t="s">
        <v>29</v>
      </c>
      <c r="E996" t="s">
        <v>12</v>
      </c>
      <c r="F996">
        <v>93736000000</v>
      </c>
      <c r="G996" s="1">
        <v>45564</v>
      </c>
      <c r="H996" t="s">
        <v>13</v>
      </c>
      <c r="I996" t="s">
        <v>14</v>
      </c>
    </row>
    <row r="997" spans="1:9" x14ac:dyDescent="0.2">
      <c r="A997">
        <v>320193</v>
      </c>
      <c r="B997" t="s">
        <v>98</v>
      </c>
      <c r="C997" t="s">
        <v>30</v>
      </c>
      <c r="D997" t="s">
        <v>29</v>
      </c>
      <c r="E997" t="s">
        <v>12</v>
      </c>
      <c r="F997">
        <v>93736000000</v>
      </c>
      <c r="G997" s="1">
        <v>45564</v>
      </c>
      <c r="H997" t="s">
        <v>13</v>
      </c>
      <c r="I997" t="s">
        <v>14</v>
      </c>
    </row>
    <row r="998" spans="1:9" x14ac:dyDescent="0.2">
      <c r="A998">
        <v>320193</v>
      </c>
      <c r="B998" t="s">
        <v>88</v>
      </c>
      <c r="C998" t="s">
        <v>30</v>
      </c>
      <c r="D998" t="s">
        <v>29</v>
      </c>
      <c r="E998" t="s">
        <v>12</v>
      </c>
      <c r="F998">
        <v>112010000000</v>
      </c>
      <c r="G998" s="1">
        <v>45928</v>
      </c>
      <c r="H998" t="s">
        <v>13</v>
      </c>
      <c r="I998" t="s">
        <v>14</v>
      </c>
    </row>
    <row r="999" spans="1:9" x14ac:dyDescent="0.2">
      <c r="A999">
        <v>320193</v>
      </c>
      <c r="B999" t="s">
        <v>88</v>
      </c>
      <c r="C999" t="s">
        <v>30</v>
      </c>
      <c r="D999" t="s">
        <v>29</v>
      </c>
      <c r="E999" t="s">
        <v>12</v>
      </c>
      <c r="F999">
        <v>112010000000</v>
      </c>
      <c r="G999" s="1">
        <v>45928</v>
      </c>
      <c r="H999" t="s">
        <v>13</v>
      </c>
      <c r="I999" t="s">
        <v>14</v>
      </c>
    </row>
    <row r="1000" spans="1:9" x14ac:dyDescent="0.2">
      <c r="A1000">
        <v>320193</v>
      </c>
      <c r="B1000" t="s">
        <v>88</v>
      </c>
      <c r="C1000" t="s">
        <v>30</v>
      </c>
      <c r="D1000" t="s">
        <v>29</v>
      </c>
      <c r="E1000" t="s">
        <v>12</v>
      </c>
      <c r="F1000">
        <v>112010000000</v>
      </c>
      <c r="G1000" s="1">
        <v>45928</v>
      </c>
      <c r="H1000" t="s">
        <v>13</v>
      </c>
      <c r="I1000" t="s">
        <v>14</v>
      </c>
    </row>
    <row r="1001" spans="1:9" x14ac:dyDescent="0.2">
      <c r="A1001">
        <v>320193</v>
      </c>
      <c r="B1001" t="s">
        <v>88</v>
      </c>
      <c r="C1001" t="s">
        <v>30</v>
      </c>
      <c r="D1001" t="s">
        <v>29</v>
      </c>
      <c r="E1001" t="s">
        <v>12</v>
      </c>
      <c r="F1001">
        <v>112010000000</v>
      </c>
      <c r="G1001" s="1">
        <v>45928</v>
      </c>
      <c r="H1001" t="s">
        <v>13</v>
      </c>
      <c r="I1001" t="s">
        <v>14</v>
      </c>
    </row>
    <row r="1002" spans="1:9" x14ac:dyDescent="0.2">
      <c r="A1002">
        <v>320193</v>
      </c>
      <c r="B1002" t="s">
        <v>9</v>
      </c>
      <c r="C1002" t="s">
        <v>45</v>
      </c>
      <c r="D1002" t="s">
        <v>46</v>
      </c>
      <c r="E1002" t="s">
        <v>12</v>
      </c>
      <c r="F1002">
        <v>41304000000</v>
      </c>
      <c r="G1002" s="1">
        <v>43373</v>
      </c>
      <c r="H1002" t="s">
        <v>13</v>
      </c>
      <c r="I1002" t="s">
        <v>14</v>
      </c>
    </row>
    <row r="1003" spans="1:9" x14ac:dyDescent="0.2">
      <c r="A1003">
        <v>320193</v>
      </c>
      <c r="B1003" t="s">
        <v>9</v>
      </c>
      <c r="C1003" t="s">
        <v>45</v>
      </c>
      <c r="D1003" t="s">
        <v>46</v>
      </c>
      <c r="E1003" t="s">
        <v>12</v>
      </c>
      <c r="F1003">
        <v>41304000000</v>
      </c>
      <c r="G1003" s="1">
        <v>43373</v>
      </c>
      <c r="H1003" t="s">
        <v>13</v>
      </c>
      <c r="I1003" t="s">
        <v>14</v>
      </c>
    </row>
    <row r="1004" spans="1:9" x14ac:dyDescent="0.2">
      <c r="A1004">
        <v>320193</v>
      </c>
      <c r="B1004" t="s">
        <v>9</v>
      </c>
      <c r="C1004" t="s">
        <v>45</v>
      </c>
      <c r="D1004" t="s">
        <v>46</v>
      </c>
      <c r="E1004" t="s">
        <v>12</v>
      </c>
      <c r="F1004">
        <v>37378000000</v>
      </c>
      <c r="G1004" s="1">
        <v>43737</v>
      </c>
      <c r="H1004" t="s">
        <v>13</v>
      </c>
      <c r="I1004" t="s">
        <v>14</v>
      </c>
    </row>
    <row r="1005" spans="1:9" x14ac:dyDescent="0.2">
      <c r="A1005">
        <v>320193</v>
      </c>
      <c r="B1005" t="s">
        <v>9</v>
      </c>
      <c r="C1005" t="s">
        <v>45</v>
      </c>
      <c r="D1005" t="s">
        <v>46</v>
      </c>
      <c r="E1005" t="s">
        <v>12</v>
      </c>
      <c r="F1005">
        <v>37378000000</v>
      </c>
      <c r="G1005" s="1">
        <v>43737</v>
      </c>
      <c r="H1005" t="s">
        <v>13</v>
      </c>
      <c r="I1005" t="s">
        <v>14</v>
      </c>
    </row>
    <row r="1006" spans="1:9" x14ac:dyDescent="0.2">
      <c r="A1006">
        <v>320193</v>
      </c>
      <c r="B1006" t="s">
        <v>100</v>
      </c>
      <c r="C1006" t="s">
        <v>45</v>
      </c>
      <c r="D1006" t="s">
        <v>46</v>
      </c>
      <c r="E1006" t="s">
        <v>12</v>
      </c>
      <c r="F1006">
        <v>37378000000</v>
      </c>
      <c r="G1006" s="1">
        <v>43737</v>
      </c>
      <c r="H1006" t="s">
        <v>13</v>
      </c>
      <c r="I1006" t="s">
        <v>14</v>
      </c>
    </row>
    <row r="1007" spans="1:9" x14ac:dyDescent="0.2">
      <c r="A1007">
        <v>320193</v>
      </c>
      <c r="B1007" t="s">
        <v>100</v>
      </c>
      <c r="C1007" t="s">
        <v>45</v>
      </c>
      <c r="D1007" t="s">
        <v>46</v>
      </c>
      <c r="E1007" t="s">
        <v>12</v>
      </c>
      <c r="F1007">
        <v>37378000000</v>
      </c>
      <c r="G1007" s="1">
        <v>43737</v>
      </c>
      <c r="H1007" t="s">
        <v>13</v>
      </c>
      <c r="I1007" t="s">
        <v>14</v>
      </c>
    </row>
    <row r="1008" spans="1:9" x14ac:dyDescent="0.2">
      <c r="A1008">
        <v>320193</v>
      </c>
      <c r="B1008" t="s">
        <v>99</v>
      </c>
      <c r="C1008" t="s">
        <v>45</v>
      </c>
      <c r="D1008" t="s">
        <v>46</v>
      </c>
      <c r="E1008" t="s">
        <v>12</v>
      </c>
      <c r="F1008">
        <v>36766000000</v>
      </c>
      <c r="G1008" s="1">
        <v>44101</v>
      </c>
      <c r="H1008" t="s">
        <v>13</v>
      </c>
      <c r="I1008" t="s">
        <v>14</v>
      </c>
    </row>
    <row r="1009" spans="1:9" x14ac:dyDescent="0.2">
      <c r="A1009">
        <v>320193</v>
      </c>
      <c r="B1009" t="s">
        <v>99</v>
      </c>
      <c r="C1009" t="s">
        <v>45</v>
      </c>
      <c r="D1009" t="s">
        <v>46</v>
      </c>
      <c r="E1009" t="s">
        <v>12</v>
      </c>
      <c r="F1009">
        <v>36766000000</v>
      </c>
      <c r="G1009" s="1">
        <v>44101</v>
      </c>
      <c r="H1009" t="s">
        <v>13</v>
      </c>
      <c r="I1009" t="s">
        <v>14</v>
      </c>
    </row>
    <row r="1010" spans="1:9" x14ac:dyDescent="0.2">
      <c r="A1010">
        <v>320193</v>
      </c>
      <c r="B1010" t="s">
        <v>100</v>
      </c>
      <c r="C1010" t="s">
        <v>45</v>
      </c>
      <c r="D1010" t="s">
        <v>46</v>
      </c>
      <c r="E1010" t="s">
        <v>12</v>
      </c>
      <c r="F1010">
        <v>36766000000</v>
      </c>
      <c r="G1010" s="1">
        <v>44101</v>
      </c>
      <c r="H1010" t="s">
        <v>13</v>
      </c>
      <c r="I1010" t="s">
        <v>14</v>
      </c>
    </row>
    <row r="1011" spans="1:9" x14ac:dyDescent="0.2">
      <c r="A1011">
        <v>320193</v>
      </c>
      <c r="B1011" t="s">
        <v>100</v>
      </c>
      <c r="C1011" t="s">
        <v>45</v>
      </c>
      <c r="D1011" t="s">
        <v>46</v>
      </c>
      <c r="E1011" t="s">
        <v>12</v>
      </c>
      <c r="F1011">
        <v>36766000000</v>
      </c>
      <c r="G1011" s="1">
        <v>44101</v>
      </c>
      <c r="H1011" t="s">
        <v>13</v>
      </c>
      <c r="I1011" t="s">
        <v>14</v>
      </c>
    </row>
    <row r="1012" spans="1:9" x14ac:dyDescent="0.2">
      <c r="A1012">
        <v>320193</v>
      </c>
      <c r="B1012" t="s">
        <v>97</v>
      </c>
      <c r="C1012" t="s">
        <v>45</v>
      </c>
      <c r="D1012" t="s">
        <v>46</v>
      </c>
      <c r="E1012" t="s">
        <v>12</v>
      </c>
      <c r="F1012">
        <v>39440000000</v>
      </c>
      <c r="G1012" s="1">
        <v>44465</v>
      </c>
      <c r="H1012" t="s">
        <v>13</v>
      </c>
      <c r="I1012" t="s">
        <v>14</v>
      </c>
    </row>
    <row r="1013" spans="1:9" x14ac:dyDescent="0.2">
      <c r="A1013">
        <v>320193</v>
      </c>
      <c r="B1013" t="s">
        <v>97</v>
      </c>
      <c r="C1013" t="s">
        <v>45</v>
      </c>
      <c r="D1013" t="s">
        <v>46</v>
      </c>
      <c r="E1013" t="s">
        <v>12</v>
      </c>
      <c r="F1013">
        <v>39440000000</v>
      </c>
      <c r="G1013" s="1">
        <v>44465</v>
      </c>
      <c r="H1013" t="s">
        <v>13</v>
      </c>
      <c r="I1013" t="s">
        <v>14</v>
      </c>
    </row>
    <row r="1014" spans="1:9" x14ac:dyDescent="0.2">
      <c r="A1014">
        <v>320193</v>
      </c>
      <c r="B1014" t="s">
        <v>99</v>
      </c>
      <c r="C1014" t="s">
        <v>45</v>
      </c>
      <c r="D1014" t="s">
        <v>46</v>
      </c>
      <c r="E1014" t="s">
        <v>12</v>
      </c>
      <c r="F1014">
        <v>39440000000</v>
      </c>
      <c r="G1014" s="1">
        <v>44465</v>
      </c>
      <c r="H1014" t="s">
        <v>13</v>
      </c>
      <c r="I1014" t="s">
        <v>14</v>
      </c>
    </row>
    <row r="1015" spans="1:9" x14ac:dyDescent="0.2">
      <c r="A1015">
        <v>320193</v>
      </c>
      <c r="B1015" t="s">
        <v>99</v>
      </c>
      <c r="C1015" t="s">
        <v>45</v>
      </c>
      <c r="D1015" t="s">
        <v>46</v>
      </c>
      <c r="E1015" t="s">
        <v>12</v>
      </c>
      <c r="F1015">
        <v>39440000000</v>
      </c>
      <c r="G1015" s="1">
        <v>44465</v>
      </c>
      <c r="H1015" t="s">
        <v>13</v>
      </c>
      <c r="I1015" t="s">
        <v>14</v>
      </c>
    </row>
    <row r="1016" spans="1:9" x14ac:dyDescent="0.2">
      <c r="A1016">
        <v>320193</v>
      </c>
      <c r="B1016" t="s">
        <v>97</v>
      </c>
      <c r="C1016" t="s">
        <v>45</v>
      </c>
      <c r="D1016" t="s">
        <v>46</v>
      </c>
      <c r="E1016" t="s">
        <v>12</v>
      </c>
      <c r="F1016">
        <v>42117000000</v>
      </c>
      <c r="G1016" s="1">
        <v>44829</v>
      </c>
      <c r="H1016" t="s">
        <v>13</v>
      </c>
      <c r="I1016" t="s">
        <v>14</v>
      </c>
    </row>
    <row r="1017" spans="1:9" x14ac:dyDescent="0.2">
      <c r="A1017">
        <v>320193</v>
      </c>
      <c r="B1017" t="s">
        <v>97</v>
      </c>
      <c r="C1017" t="s">
        <v>45</v>
      </c>
      <c r="D1017" t="s">
        <v>46</v>
      </c>
      <c r="E1017" t="s">
        <v>12</v>
      </c>
      <c r="F1017">
        <v>42117000000</v>
      </c>
      <c r="G1017" s="1">
        <v>44829</v>
      </c>
      <c r="H1017" t="s">
        <v>13</v>
      </c>
      <c r="I1017" t="s">
        <v>14</v>
      </c>
    </row>
    <row r="1018" spans="1:9" x14ac:dyDescent="0.2">
      <c r="A1018">
        <v>320193</v>
      </c>
      <c r="B1018" t="s">
        <v>101</v>
      </c>
      <c r="C1018" t="s">
        <v>45</v>
      </c>
      <c r="D1018" t="s">
        <v>46</v>
      </c>
      <c r="E1018" t="s">
        <v>12</v>
      </c>
      <c r="F1018">
        <v>42117000000</v>
      </c>
      <c r="G1018" s="1">
        <v>44829</v>
      </c>
      <c r="H1018" t="s">
        <v>13</v>
      </c>
      <c r="I1018" t="s">
        <v>14</v>
      </c>
    </row>
    <row r="1019" spans="1:9" x14ac:dyDescent="0.2">
      <c r="A1019">
        <v>320193</v>
      </c>
      <c r="B1019" t="s">
        <v>101</v>
      </c>
      <c r="C1019" t="s">
        <v>45</v>
      </c>
      <c r="D1019" t="s">
        <v>46</v>
      </c>
      <c r="E1019" t="s">
        <v>12</v>
      </c>
      <c r="F1019">
        <v>42117000000</v>
      </c>
      <c r="G1019" s="1">
        <v>44829</v>
      </c>
      <c r="H1019" t="s">
        <v>13</v>
      </c>
      <c r="I1019" t="s">
        <v>14</v>
      </c>
    </row>
    <row r="1020" spans="1:9" x14ac:dyDescent="0.2">
      <c r="A1020">
        <v>320193</v>
      </c>
      <c r="B1020" t="s">
        <v>98</v>
      </c>
      <c r="C1020" t="s">
        <v>45</v>
      </c>
      <c r="D1020" t="s">
        <v>46</v>
      </c>
      <c r="E1020" t="s">
        <v>12</v>
      </c>
      <c r="F1020">
        <v>43715000000</v>
      </c>
      <c r="G1020" s="1">
        <v>45200</v>
      </c>
      <c r="H1020" t="s">
        <v>13</v>
      </c>
      <c r="I1020" t="s">
        <v>14</v>
      </c>
    </row>
    <row r="1021" spans="1:9" x14ac:dyDescent="0.2">
      <c r="A1021">
        <v>320193</v>
      </c>
      <c r="B1021" t="s">
        <v>98</v>
      </c>
      <c r="C1021" t="s">
        <v>45</v>
      </c>
      <c r="D1021" t="s">
        <v>46</v>
      </c>
      <c r="E1021" t="s">
        <v>12</v>
      </c>
      <c r="F1021">
        <v>43715000000</v>
      </c>
      <c r="G1021" s="1">
        <v>45200</v>
      </c>
      <c r="H1021" t="s">
        <v>13</v>
      </c>
      <c r="I1021" t="s">
        <v>14</v>
      </c>
    </row>
    <row r="1022" spans="1:9" x14ac:dyDescent="0.2">
      <c r="A1022">
        <v>320193</v>
      </c>
      <c r="B1022" t="s">
        <v>101</v>
      </c>
      <c r="C1022" t="s">
        <v>45</v>
      </c>
      <c r="D1022" t="s">
        <v>46</v>
      </c>
      <c r="E1022" t="s">
        <v>12</v>
      </c>
      <c r="F1022">
        <v>43715000000</v>
      </c>
      <c r="G1022" s="1">
        <v>45200</v>
      </c>
      <c r="H1022" t="s">
        <v>13</v>
      </c>
      <c r="I1022" t="s">
        <v>14</v>
      </c>
    </row>
    <row r="1023" spans="1:9" x14ac:dyDescent="0.2">
      <c r="A1023">
        <v>320193</v>
      </c>
      <c r="B1023" t="s">
        <v>101</v>
      </c>
      <c r="C1023" t="s">
        <v>45</v>
      </c>
      <c r="D1023" t="s">
        <v>46</v>
      </c>
      <c r="E1023" t="s">
        <v>12</v>
      </c>
      <c r="F1023">
        <v>43715000000</v>
      </c>
      <c r="G1023" s="1">
        <v>45200</v>
      </c>
      <c r="H1023" t="s">
        <v>13</v>
      </c>
      <c r="I1023" t="s">
        <v>14</v>
      </c>
    </row>
    <row r="1024" spans="1:9" x14ac:dyDescent="0.2">
      <c r="A1024">
        <v>320193</v>
      </c>
      <c r="B1024" t="s">
        <v>88</v>
      </c>
      <c r="C1024" t="s">
        <v>45</v>
      </c>
      <c r="D1024" t="s">
        <v>46</v>
      </c>
      <c r="E1024" t="s">
        <v>12</v>
      </c>
      <c r="F1024">
        <v>45680000000</v>
      </c>
      <c r="G1024" s="1">
        <v>45564</v>
      </c>
      <c r="H1024" t="s">
        <v>13</v>
      </c>
      <c r="I1024" t="s">
        <v>14</v>
      </c>
    </row>
    <row r="1025" spans="1:9" x14ac:dyDescent="0.2">
      <c r="A1025">
        <v>320193</v>
      </c>
      <c r="B1025" t="s">
        <v>88</v>
      </c>
      <c r="C1025" t="s">
        <v>45</v>
      </c>
      <c r="D1025" t="s">
        <v>46</v>
      </c>
      <c r="E1025" t="s">
        <v>12</v>
      </c>
      <c r="F1025">
        <v>45680000000</v>
      </c>
      <c r="G1025" s="1">
        <v>45564</v>
      </c>
      <c r="H1025" t="s">
        <v>13</v>
      </c>
      <c r="I1025" t="s">
        <v>14</v>
      </c>
    </row>
    <row r="1026" spans="1:9" x14ac:dyDescent="0.2">
      <c r="A1026">
        <v>320193</v>
      </c>
      <c r="B1026" t="s">
        <v>98</v>
      </c>
      <c r="C1026" t="s">
        <v>45</v>
      </c>
      <c r="D1026" t="s">
        <v>46</v>
      </c>
      <c r="E1026" t="s">
        <v>12</v>
      </c>
      <c r="F1026">
        <v>45680000000</v>
      </c>
      <c r="G1026" s="1">
        <v>45564</v>
      </c>
      <c r="H1026" t="s">
        <v>13</v>
      </c>
      <c r="I1026" t="s">
        <v>14</v>
      </c>
    </row>
    <row r="1027" spans="1:9" x14ac:dyDescent="0.2">
      <c r="A1027">
        <v>320193</v>
      </c>
      <c r="B1027" t="s">
        <v>98</v>
      </c>
      <c r="C1027" t="s">
        <v>45</v>
      </c>
      <c r="D1027" t="s">
        <v>46</v>
      </c>
      <c r="E1027" t="s">
        <v>12</v>
      </c>
      <c r="F1027">
        <v>45680000000</v>
      </c>
      <c r="G1027" s="1">
        <v>45564</v>
      </c>
      <c r="H1027" t="s">
        <v>13</v>
      </c>
      <c r="I1027" t="s">
        <v>14</v>
      </c>
    </row>
    <row r="1028" spans="1:9" x14ac:dyDescent="0.2">
      <c r="A1028">
        <v>320193</v>
      </c>
      <c r="B1028" t="s">
        <v>88</v>
      </c>
      <c r="C1028" t="s">
        <v>45</v>
      </c>
      <c r="D1028" t="s">
        <v>46</v>
      </c>
      <c r="E1028" t="s">
        <v>12</v>
      </c>
      <c r="F1028">
        <v>49834000000</v>
      </c>
      <c r="G1028" s="1">
        <v>45928</v>
      </c>
      <c r="H1028" t="s">
        <v>13</v>
      </c>
      <c r="I1028" t="s">
        <v>14</v>
      </c>
    </row>
    <row r="1029" spans="1:9" x14ac:dyDescent="0.2">
      <c r="A1029">
        <v>320193</v>
      </c>
      <c r="B1029" t="s">
        <v>88</v>
      </c>
      <c r="C1029" t="s">
        <v>45</v>
      </c>
      <c r="D1029" t="s">
        <v>46</v>
      </c>
      <c r="E1029" t="s">
        <v>12</v>
      </c>
      <c r="F1029">
        <v>49834000000</v>
      </c>
      <c r="G1029" s="1">
        <v>45928</v>
      </c>
      <c r="H1029" t="s">
        <v>13</v>
      </c>
      <c r="I1029" t="s">
        <v>14</v>
      </c>
    </row>
    <row r="1030" spans="1:9" x14ac:dyDescent="0.2">
      <c r="A1030">
        <v>320193</v>
      </c>
      <c r="B1030" t="s">
        <v>9</v>
      </c>
      <c r="C1030" t="s">
        <v>70</v>
      </c>
      <c r="D1030" t="s">
        <v>71</v>
      </c>
      <c r="E1030" t="s">
        <v>12</v>
      </c>
      <c r="F1030">
        <v>64225000000</v>
      </c>
      <c r="G1030" s="1">
        <v>43009</v>
      </c>
      <c r="H1030" t="s">
        <v>13</v>
      </c>
      <c r="I1030" t="s">
        <v>14</v>
      </c>
    </row>
    <row r="1031" spans="1:9" x14ac:dyDescent="0.2">
      <c r="A1031">
        <v>320193</v>
      </c>
      <c r="B1031" t="s">
        <v>9</v>
      </c>
      <c r="C1031" t="s">
        <v>70</v>
      </c>
      <c r="D1031" t="s">
        <v>71</v>
      </c>
      <c r="E1031" t="s">
        <v>12</v>
      </c>
      <c r="F1031">
        <v>77434000000</v>
      </c>
      <c r="G1031" s="1">
        <v>43373</v>
      </c>
      <c r="H1031" t="s">
        <v>13</v>
      </c>
      <c r="I1031" t="s">
        <v>14</v>
      </c>
    </row>
    <row r="1032" spans="1:9" x14ac:dyDescent="0.2">
      <c r="A1032">
        <v>320193</v>
      </c>
      <c r="B1032" t="s">
        <v>100</v>
      </c>
      <c r="C1032" t="s">
        <v>70</v>
      </c>
      <c r="D1032" t="s">
        <v>71</v>
      </c>
      <c r="E1032" t="s">
        <v>12</v>
      </c>
      <c r="F1032">
        <v>77434000000</v>
      </c>
      <c r="G1032" s="1">
        <v>43373</v>
      </c>
      <c r="H1032" t="s">
        <v>13</v>
      </c>
      <c r="I1032" t="s">
        <v>14</v>
      </c>
    </row>
    <row r="1033" spans="1:9" x14ac:dyDescent="0.2">
      <c r="A1033">
        <v>320193</v>
      </c>
      <c r="B1033" t="s">
        <v>9</v>
      </c>
      <c r="C1033" t="s">
        <v>70</v>
      </c>
      <c r="D1033" t="s">
        <v>71</v>
      </c>
      <c r="E1033" t="s">
        <v>12</v>
      </c>
      <c r="F1033">
        <v>69391000000</v>
      </c>
      <c r="G1033" s="1">
        <v>43737</v>
      </c>
      <c r="H1033" t="s">
        <v>13</v>
      </c>
      <c r="I1033" t="s">
        <v>14</v>
      </c>
    </row>
    <row r="1034" spans="1:9" x14ac:dyDescent="0.2">
      <c r="A1034">
        <v>320193</v>
      </c>
      <c r="B1034" t="s">
        <v>99</v>
      </c>
      <c r="C1034" t="s">
        <v>70</v>
      </c>
      <c r="D1034" t="s">
        <v>71</v>
      </c>
      <c r="E1034" t="s">
        <v>12</v>
      </c>
      <c r="F1034">
        <v>69391000000</v>
      </c>
      <c r="G1034" s="1">
        <v>43737</v>
      </c>
      <c r="H1034" t="s">
        <v>13</v>
      </c>
      <c r="I1034" t="s">
        <v>14</v>
      </c>
    </row>
    <row r="1035" spans="1:9" x14ac:dyDescent="0.2">
      <c r="A1035">
        <v>320193</v>
      </c>
      <c r="B1035" t="s">
        <v>100</v>
      </c>
      <c r="C1035" t="s">
        <v>70</v>
      </c>
      <c r="D1035" t="s">
        <v>71</v>
      </c>
      <c r="E1035" t="s">
        <v>12</v>
      </c>
      <c r="F1035">
        <v>69391000000</v>
      </c>
      <c r="G1035" s="1">
        <v>43737</v>
      </c>
      <c r="H1035" t="s">
        <v>13</v>
      </c>
      <c r="I1035" t="s">
        <v>14</v>
      </c>
    </row>
    <row r="1036" spans="1:9" x14ac:dyDescent="0.2">
      <c r="A1036">
        <v>320193</v>
      </c>
      <c r="B1036" t="s">
        <v>97</v>
      </c>
      <c r="C1036" t="s">
        <v>70</v>
      </c>
      <c r="D1036" t="s">
        <v>71</v>
      </c>
      <c r="E1036" t="s">
        <v>12</v>
      </c>
      <c r="F1036">
        <v>80674000000</v>
      </c>
      <c r="G1036" s="1">
        <v>44101</v>
      </c>
      <c r="H1036" t="s">
        <v>13</v>
      </c>
      <c r="I1036" t="s">
        <v>14</v>
      </c>
    </row>
    <row r="1037" spans="1:9" x14ac:dyDescent="0.2">
      <c r="A1037">
        <v>320193</v>
      </c>
      <c r="B1037" t="s">
        <v>99</v>
      </c>
      <c r="C1037" t="s">
        <v>70</v>
      </c>
      <c r="D1037" t="s">
        <v>71</v>
      </c>
      <c r="E1037" t="s">
        <v>12</v>
      </c>
      <c r="F1037">
        <v>80674000000</v>
      </c>
      <c r="G1037" s="1">
        <v>44101</v>
      </c>
      <c r="H1037" t="s">
        <v>13</v>
      </c>
      <c r="I1037" t="s">
        <v>14</v>
      </c>
    </row>
    <row r="1038" spans="1:9" x14ac:dyDescent="0.2">
      <c r="A1038">
        <v>320193</v>
      </c>
      <c r="B1038" t="s">
        <v>100</v>
      </c>
      <c r="C1038" t="s">
        <v>70</v>
      </c>
      <c r="D1038" t="s">
        <v>71</v>
      </c>
      <c r="E1038" t="s">
        <v>12</v>
      </c>
      <c r="F1038">
        <v>80674000000</v>
      </c>
      <c r="G1038" s="1">
        <v>44101</v>
      </c>
      <c r="H1038" t="s">
        <v>13</v>
      </c>
      <c r="I1038" t="s">
        <v>14</v>
      </c>
    </row>
    <row r="1039" spans="1:9" x14ac:dyDescent="0.2">
      <c r="A1039">
        <v>320193</v>
      </c>
      <c r="B1039" t="s">
        <v>97</v>
      </c>
      <c r="C1039" t="s">
        <v>70</v>
      </c>
      <c r="D1039" t="s">
        <v>71</v>
      </c>
      <c r="E1039" t="s">
        <v>12</v>
      </c>
      <c r="F1039">
        <v>104038000000</v>
      </c>
      <c r="G1039" s="1">
        <v>44465</v>
      </c>
      <c r="H1039" t="s">
        <v>13</v>
      </c>
      <c r="I1039" t="s">
        <v>14</v>
      </c>
    </row>
    <row r="1040" spans="1:9" x14ac:dyDescent="0.2">
      <c r="A1040">
        <v>320193</v>
      </c>
      <c r="B1040" t="s">
        <v>99</v>
      </c>
      <c r="C1040" t="s">
        <v>70</v>
      </c>
      <c r="D1040" t="s">
        <v>71</v>
      </c>
      <c r="E1040" t="s">
        <v>12</v>
      </c>
      <c r="F1040">
        <v>104038000000</v>
      </c>
      <c r="G1040" s="1">
        <v>44465</v>
      </c>
      <c r="H1040" t="s">
        <v>13</v>
      </c>
      <c r="I1040" t="s">
        <v>14</v>
      </c>
    </row>
    <row r="1041" spans="1:9" x14ac:dyDescent="0.2">
      <c r="A1041">
        <v>320193</v>
      </c>
      <c r="B1041" t="s">
        <v>101</v>
      </c>
      <c r="C1041" t="s">
        <v>70</v>
      </c>
      <c r="D1041" t="s">
        <v>71</v>
      </c>
      <c r="E1041" t="s">
        <v>12</v>
      </c>
      <c r="F1041">
        <v>104038000000</v>
      </c>
      <c r="G1041" s="1">
        <v>44465</v>
      </c>
      <c r="H1041" t="s">
        <v>13</v>
      </c>
      <c r="I1041" t="s">
        <v>14</v>
      </c>
    </row>
    <row r="1042" spans="1:9" x14ac:dyDescent="0.2">
      <c r="A1042">
        <v>320193</v>
      </c>
      <c r="B1042" t="s">
        <v>97</v>
      </c>
      <c r="C1042" t="s">
        <v>70</v>
      </c>
      <c r="D1042" t="s">
        <v>71</v>
      </c>
      <c r="E1042" t="s">
        <v>12</v>
      </c>
      <c r="F1042">
        <v>122151000000</v>
      </c>
      <c r="G1042" s="1">
        <v>44829</v>
      </c>
      <c r="H1042" t="s">
        <v>13</v>
      </c>
      <c r="I1042" t="s">
        <v>14</v>
      </c>
    </row>
    <row r="1043" spans="1:9" x14ac:dyDescent="0.2">
      <c r="A1043">
        <v>320193</v>
      </c>
      <c r="B1043" t="s">
        <v>98</v>
      </c>
      <c r="C1043" t="s">
        <v>70</v>
      </c>
      <c r="D1043" t="s">
        <v>71</v>
      </c>
      <c r="E1043" t="s">
        <v>12</v>
      </c>
      <c r="F1043">
        <v>122151000000</v>
      </c>
      <c r="G1043" s="1">
        <v>44829</v>
      </c>
      <c r="H1043" t="s">
        <v>13</v>
      </c>
      <c r="I1043" t="s">
        <v>14</v>
      </c>
    </row>
    <row r="1044" spans="1:9" x14ac:dyDescent="0.2">
      <c r="A1044">
        <v>320193</v>
      </c>
      <c r="B1044" t="s">
        <v>101</v>
      </c>
      <c r="C1044" t="s">
        <v>70</v>
      </c>
      <c r="D1044" t="s">
        <v>71</v>
      </c>
      <c r="E1044" t="s">
        <v>12</v>
      </c>
      <c r="F1044">
        <v>122151000000</v>
      </c>
      <c r="G1044" s="1">
        <v>44829</v>
      </c>
      <c r="H1044" t="s">
        <v>13</v>
      </c>
      <c r="I1044" t="s">
        <v>14</v>
      </c>
    </row>
    <row r="1045" spans="1:9" x14ac:dyDescent="0.2">
      <c r="A1045">
        <v>320193</v>
      </c>
      <c r="B1045" t="s">
        <v>88</v>
      </c>
      <c r="C1045" t="s">
        <v>70</v>
      </c>
      <c r="D1045" t="s">
        <v>71</v>
      </c>
      <c r="E1045" t="s">
        <v>12</v>
      </c>
      <c r="F1045">
        <v>110543000000</v>
      </c>
      <c r="G1045" s="1">
        <v>45200</v>
      </c>
      <c r="H1045" t="s">
        <v>13</v>
      </c>
      <c r="I1045" t="s">
        <v>14</v>
      </c>
    </row>
    <row r="1046" spans="1:9" x14ac:dyDescent="0.2">
      <c r="A1046">
        <v>320193</v>
      </c>
      <c r="B1046" t="s">
        <v>98</v>
      </c>
      <c r="C1046" t="s">
        <v>70</v>
      </c>
      <c r="D1046" t="s">
        <v>71</v>
      </c>
      <c r="E1046" t="s">
        <v>12</v>
      </c>
      <c r="F1046">
        <v>110543000000</v>
      </c>
      <c r="G1046" s="1">
        <v>45200</v>
      </c>
      <c r="H1046" t="s">
        <v>13</v>
      </c>
      <c r="I1046" t="s">
        <v>14</v>
      </c>
    </row>
    <row r="1047" spans="1:9" x14ac:dyDescent="0.2">
      <c r="A1047">
        <v>320193</v>
      </c>
      <c r="B1047" t="s">
        <v>101</v>
      </c>
      <c r="C1047" t="s">
        <v>70</v>
      </c>
      <c r="D1047" t="s">
        <v>71</v>
      </c>
      <c r="E1047" t="s">
        <v>12</v>
      </c>
      <c r="F1047">
        <v>110543000000</v>
      </c>
      <c r="G1047" s="1">
        <v>45200</v>
      </c>
      <c r="H1047" t="s">
        <v>13</v>
      </c>
      <c r="I1047" t="s">
        <v>14</v>
      </c>
    </row>
    <row r="1048" spans="1:9" x14ac:dyDescent="0.2">
      <c r="A1048">
        <v>320193</v>
      </c>
      <c r="B1048" t="s">
        <v>88</v>
      </c>
      <c r="C1048" t="s">
        <v>70</v>
      </c>
      <c r="D1048" t="s">
        <v>71</v>
      </c>
      <c r="E1048" t="s">
        <v>12</v>
      </c>
      <c r="F1048">
        <v>118254000000</v>
      </c>
      <c r="G1048" s="1">
        <v>45564</v>
      </c>
      <c r="H1048" t="s">
        <v>13</v>
      </c>
      <c r="I1048" t="s">
        <v>14</v>
      </c>
    </row>
    <row r="1049" spans="1:9" x14ac:dyDescent="0.2">
      <c r="A1049">
        <v>320193</v>
      </c>
      <c r="B1049" t="s">
        <v>98</v>
      </c>
      <c r="C1049" t="s">
        <v>70</v>
      </c>
      <c r="D1049" t="s">
        <v>71</v>
      </c>
      <c r="E1049" t="s">
        <v>12</v>
      </c>
      <c r="F1049">
        <v>118254000000</v>
      </c>
      <c r="G1049" s="1">
        <v>45564</v>
      </c>
      <c r="H1049" t="s">
        <v>13</v>
      </c>
      <c r="I1049" t="s">
        <v>14</v>
      </c>
    </row>
    <row r="1050" spans="1:9" x14ac:dyDescent="0.2">
      <c r="A1050">
        <v>320193</v>
      </c>
      <c r="B1050" t="s">
        <v>88</v>
      </c>
      <c r="C1050" t="s">
        <v>70</v>
      </c>
      <c r="D1050" t="s">
        <v>71</v>
      </c>
      <c r="E1050" t="s">
        <v>12</v>
      </c>
      <c r="F1050">
        <v>111482000000</v>
      </c>
      <c r="G1050" s="1">
        <v>45928</v>
      </c>
      <c r="H1050" t="s">
        <v>13</v>
      </c>
      <c r="I1050" t="s">
        <v>14</v>
      </c>
    </row>
    <row r="1051" spans="1:9" x14ac:dyDescent="0.2">
      <c r="A1051">
        <v>320193</v>
      </c>
      <c r="B1051" t="s">
        <v>9</v>
      </c>
      <c r="C1051" t="s">
        <v>21</v>
      </c>
      <c r="D1051" t="s">
        <v>22</v>
      </c>
      <c r="E1051" t="s">
        <v>12</v>
      </c>
      <c r="F1051">
        <v>26842000000</v>
      </c>
      <c r="G1051" s="1">
        <v>43009</v>
      </c>
      <c r="H1051" t="s">
        <v>13</v>
      </c>
      <c r="I1051" t="s">
        <v>14</v>
      </c>
    </row>
    <row r="1052" spans="1:9" x14ac:dyDescent="0.2">
      <c r="A1052">
        <v>320193</v>
      </c>
      <c r="B1052" t="s">
        <v>9</v>
      </c>
      <c r="C1052" t="s">
        <v>21</v>
      </c>
      <c r="D1052" t="s">
        <v>22</v>
      </c>
      <c r="E1052" t="s">
        <v>12</v>
      </c>
      <c r="F1052">
        <v>30941000000</v>
      </c>
      <c r="G1052" s="1">
        <v>43373</v>
      </c>
      <c r="H1052" t="s">
        <v>13</v>
      </c>
      <c r="I1052" t="s">
        <v>14</v>
      </c>
    </row>
    <row r="1053" spans="1:9" x14ac:dyDescent="0.2">
      <c r="A1053">
        <v>320193</v>
      </c>
      <c r="B1053" t="s">
        <v>100</v>
      </c>
      <c r="C1053" t="s">
        <v>21</v>
      </c>
      <c r="D1053" t="s">
        <v>22</v>
      </c>
      <c r="E1053" t="s">
        <v>12</v>
      </c>
      <c r="F1053">
        <v>30941000000</v>
      </c>
      <c r="G1053" s="1">
        <v>43373</v>
      </c>
      <c r="H1053" t="s">
        <v>13</v>
      </c>
      <c r="I1053" t="s">
        <v>14</v>
      </c>
    </row>
    <row r="1054" spans="1:9" x14ac:dyDescent="0.2">
      <c r="A1054">
        <v>320193</v>
      </c>
      <c r="B1054" t="s">
        <v>9</v>
      </c>
      <c r="C1054" t="s">
        <v>21</v>
      </c>
      <c r="D1054" t="s">
        <v>22</v>
      </c>
      <c r="E1054" t="s">
        <v>12</v>
      </c>
      <c r="F1054">
        <v>34462000000</v>
      </c>
      <c r="G1054" s="1">
        <v>43737</v>
      </c>
      <c r="H1054" t="s">
        <v>13</v>
      </c>
      <c r="I1054" t="s">
        <v>14</v>
      </c>
    </row>
    <row r="1055" spans="1:9" x14ac:dyDescent="0.2">
      <c r="A1055">
        <v>320193</v>
      </c>
      <c r="B1055" t="s">
        <v>99</v>
      </c>
      <c r="C1055" t="s">
        <v>21</v>
      </c>
      <c r="D1055" t="s">
        <v>22</v>
      </c>
      <c r="E1055" t="s">
        <v>12</v>
      </c>
      <c r="F1055">
        <v>34462000000</v>
      </c>
      <c r="G1055" s="1">
        <v>43737</v>
      </c>
      <c r="H1055" t="s">
        <v>13</v>
      </c>
      <c r="I1055" t="s">
        <v>14</v>
      </c>
    </row>
    <row r="1056" spans="1:9" x14ac:dyDescent="0.2">
      <c r="A1056">
        <v>320193</v>
      </c>
      <c r="B1056" t="s">
        <v>100</v>
      </c>
      <c r="C1056" t="s">
        <v>21</v>
      </c>
      <c r="D1056" t="s">
        <v>22</v>
      </c>
      <c r="E1056" t="s">
        <v>12</v>
      </c>
      <c r="F1056">
        <v>34462000000</v>
      </c>
      <c r="G1056" s="1">
        <v>43737</v>
      </c>
      <c r="H1056" t="s">
        <v>13</v>
      </c>
      <c r="I1056" t="s">
        <v>14</v>
      </c>
    </row>
    <row r="1057" spans="1:9" x14ac:dyDescent="0.2">
      <c r="A1057">
        <v>320193</v>
      </c>
      <c r="B1057" t="s">
        <v>97</v>
      </c>
      <c r="C1057" t="s">
        <v>21</v>
      </c>
      <c r="D1057" t="s">
        <v>22</v>
      </c>
      <c r="E1057" t="s">
        <v>12</v>
      </c>
      <c r="F1057">
        <v>38668000000</v>
      </c>
      <c r="G1057" s="1">
        <v>44101</v>
      </c>
      <c r="H1057" t="s">
        <v>13</v>
      </c>
      <c r="I1057" t="s">
        <v>14</v>
      </c>
    </row>
    <row r="1058" spans="1:9" x14ac:dyDescent="0.2">
      <c r="A1058">
        <v>320193</v>
      </c>
      <c r="B1058" t="s">
        <v>99</v>
      </c>
      <c r="C1058" t="s">
        <v>21</v>
      </c>
      <c r="D1058" t="s">
        <v>22</v>
      </c>
      <c r="E1058" t="s">
        <v>12</v>
      </c>
      <c r="F1058">
        <v>38668000000</v>
      </c>
      <c r="G1058" s="1">
        <v>44101</v>
      </c>
      <c r="H1058" t="s">
        <v>13</v>
      </c>
      <c r="I1058" t="s">
        <v>14</v>
      </c>
    </row>
    <row r="1059" spans="1:9" x14ac:dyDescent="0.2">
      <c r="A1059">
        <v>320193</v>
      </c>
      <c r="B1059" t="s">
        <v>100</v>
      </c>
      <c r="C1059" t="s">
        <v>21</v>
      </c>
      <c r="D1059" t="s">
        <v>22</v>
      </c>
      <c r="E1059" t="s">
        <v>12</v>
      </c>
      <c r="F1059">
        <v>38668000000</v>
      </c>
      <c r="G1059" s="1">
        <v>44101</v>
      </c>
      <c r="H1059" t="s">
        <v>13</v>
      </c>
      <c r="I1059" t="s">
        <v>14</v>
      </c>
    </row>
    <row r="1060" spans="1:9" x14ac:dyDescent="0.2">
      <c r="A1060">
        <v>320193</v>
      </c>
      <c r="B1060" t="s">
        <v>97</v>
      </c>
      <c r="C1060" t="s">
        <v>21</v>
      </c>
      <c r="D1060" t="s">
        <v>22</v>
      </c>
      <c r="E1060" t="s">
        <v>12</v>
      </c>
      <c r="F1060">
        <v>43887000000</v>
      </c>
      <c r="G1060" s="1">
        <v>44465</v>
      </c>
      <c r="H1060" t="s">
        <v>13</v>
      </c>
      <c r="I1060" t="s">
        <v>14</v>
      </c>
    </row>
    <row r="1061" spans="1:9" x14ac:dyDescent="0.2">
      <c r="A1061">
        <v>320193</v>
      </c>
      <c r="B1061" t="s">
        <v>99</v>
      </c>
      <c r="C1061" t="s">
        <v>21</v>
      </c>
      <c r="D1061" t="s">
        <v>22</v>
      </c>
      <c r="E1061" t="s">
        <v>12</v>
      </c>
      <c r="F1061">
        <v>43887000000</v>
      </c>
      <c r="G1061" s="1">
        <v>44465</v>
      </c>
      <c r="H1061" t="s">
        <v>13</v>
      </c>
      <c r="I1061" t="s">
        <v>14</v>
      </c>
    </row>
    <row r="1062" spans="1:9" x14ac:dyDescent="0.2">
      <c r="A1062">
        <v>320193</v>
      </c>
      <c r="B1062" t="s">
        <v>101</v>
      </c>
      <c r="C1062" t="s">
        <v>21</v>
      </c>
      <c r="D1062" t="s">
        <v>22</v>
      </c>
      <c r="E1062" t="s">
        <v>12</v>
      </c>
      <c r="F1062">
        <v>43887000000</v>
      </c>
      <c r="G1062" s="1">
        <v>44465</v>
      </c>
      <c r="H1062" t="s">
        <v>13</v>
      </c>
      <c r="I1062" t="s">
        <v>14</v>
      </c>
    </row>
    <row r="1063" spans="1:9" x14ac:dyDescent="0.2">
      <c r="A1063">
        <v>320193</v>
      </c>
      <c r="B1063" t="s">
        <v>97</v>
      </c>
      <c r="C1063" t="s">
        <v>21</v>
      </c>
      <c r="D1063" t="s">
        <v>22</v>
      </c>
      <c r="E1063" t="s">
        <v>12</v>
      </c>
      <c r="F1063">
        <v>51345000000</v>
      </c>
      <c r="G1063" s="1">
        <v>44829</v>
      </c>
      <c r="H1063" t="s">
        <v>13</v>
      </c>
      <c r="I1063" t="s">
        <v>14</v>
      </c>
    </row>
    <row r="1064" spans="1:9" x14ac:dyDescent="0.2">
      <c r="A1064">
        <v>320193</v>
      </c>
      <c r="B1064" t="s">
        <v>98</v>
      </c>
      <c r="C1064" t="s">
        <v>21</v>
      </c>
      <c r="D1064" t="s">
        <v>22</v>
      </c>
      <c r="E1064" t="s">
        <v>12</v>
      </c>
      <c r="F1064">
        <v>51345000000</v>
      </c>
      <c r="G1064" s="1">
        <v>44829</v>
      </c>
      <c r="H1064" t="s">
        <v>13</v>
      </c>
      <c r="I1064" t="s">
        <v>14</v>
      </c>
    </row>
    <row r="1065" spans="1:9" x14ac:dyDescent="0.2">
      <c r="A1065">
        <v>320193</v>
      </c>
      <c r="B1065" t="s">
        <v>101</v>
      </c>
      <c r="C1065" t="s">
        <v>21</v>
      </c>
      <c r="D1065" t="s">
        <v>22</v>
      </c>
      <c r="E1065" t="s">
        <v>12</v>
      </c>
      <c r="F1065">
        <v>51345000000</v>
      </c>
      <c r="G1065" s="1">
        <v>44829</v>
      </c>
      <c r="H1065" t="s">
        <v>13</v>
      </c>
      <c r="I1065" t="s">
        <v>14</v>
      </c>
    </row>
    <row r="1066" spans="1:9" x14ac:dyDescent="0.2">
      <c r="A1066">
        <v>320193</v>
      </c>
      <c r="B1066" t="s">
        <v>88</v>
      </c>
      <c r="C1066" t="s">
        <v>21</v>
      </c>
      <c r="D1066" t="s">
        <v>22</v>
      </c>
      <c r="E1066" t="s">
        <v>12</v>
      </c>
      <c r="F1066">
        <v>54847000000</v>
      </c>
      <c r="G1066" s="1">
        <v>45200</v>
      </c>
      <c r="H1066" t="s">
        <v>13</v>
      </c>
      <c r="I1066" t="s">
        <v>14</v>
      </c>
    </row>
    <row r="1067" spans="1:9" x14ac:dyDescent="0.2">
      <c r="A1067">
        <v>320193</v>
      </c>
      <c r="B1067" t="s">
        <v>98</v>
      </c>
      <c r="C1067" t="s">
        <v>21</v>
      </c>
      <c r="D1067" t="s">
        <v>22</v>
      </c>
      <c r="E1067" t="s">
        <v>12</v>
      </c>
      <c r="F1067">
        <v>54847000000</v>
      </c>
      <c r="G1067" s="1">
        <v>45200</v>
      </c>
      <c r="H1067" t="s">
        <v>13</v>
      </c>
      <c r="I1067" t="s">
        <v>14</v>
      </c>
    </row>
    <row r="1068" spans="1:9" x14ac:dyDescent="0.2">
      <c r="A1068">
        <v>320193</v>
      </c>
      <c r="B1068" t="s">
        <v>101</v>
      </c>
      <c r="C1068" t="s">
        <v>21</v>
      </c>
      <c r="D1068" t="s">
        <v>22</v>
      </c>
      <c r="E1068" t="s">
        <v>12</v>
      </c>
      <c r="F1068">
        <v>54847000000</v>
      </c>
      <c r="G1068" s="1">
        <v>45200</v>
      </c>
      <c r="H1068" t="s">
        <v>13</v>
      </c>
      <c r="I1068" t="s">
        <v>14</v>
      </c>
    </row>
    <row r="1069" spans="1:9" x14ac:dyDescent="0.2">
      <c r="A1069">
        <v>320193</v>
      </c>
      <c r="B1069" t="s">
        <v>88</v>
      </c>
      <c r="C1069" t="s">
        <v>21</v>
      </c>
      <c r="D1069" t="s">
        <v>22</v>
      </c>
      <c r="E1069" t="s">
        <v>12</v>
      </c>
      <c r="F1069">
        <v>57467000000</v>
      </c>
      <c r="G1069" s="1">
        <v>45564</v>
      </c>
      <c r="H1069" t="s">
        <v>13</v>
      </c>
      <c r="I1069" t="s">
        <v>14</v>
      </c>
    </row>
    <row r="1070" spans="1:9" x14ac:dyDescent="0.2">
      <c r="A1070">
        <v>320193</v>
      </c>
      <c r="B1070" t="s">
        <v>98</v>
      </c>
      <c r="C1070" t="s">
        <v>21</v>
      </c>
      <c r="D1070" t="s">
        <v>22</v>
      </c>
      <c r="E1070" t="s">
        <v>12</v>
      </c>
      <c r="F1070">
        <v>57467000000</v>
      </c>
      <c r="G1070" s="1">
        <v>45564</v>
      </c>
      <c r="H1070" t="s">
        <v>13</v>
      </c>
      <c r="I1070" t="s">
        <v>14</v>
      </c>
    </row>
    <row r="1071" spans="1:9" x14ac:dyDescent="0.2">
      <c r="A1071">
        <v>320193</v>
      </c>
      <c r="B1071" t="s">
        <v>88</v>
      </c>
      <c r="C1071" t="s">
        <v>21</v>
      </c>
      <c r="D1071" t="s">
        <v>22</v>
      </c>
      <c r="E1071" t="s">
        <v>12</v>
      </c>
      <c r="F1071">
        <v>62151000000</v>
      </c>
      <c r="G1071" s="1">
        <v>45928</v>
      </c>
      <c r="H1071" t="s">
        <v>13</v>
      </c>
      <c r="I1071" t="s">
        <v>14</v>
      </c>
    </row>
    <row r="1072" spans="1:9" x14ac:dyDescent="0.2">
      <c r="A1072">
        <v>320193</v>
      </c>
      <c r="B1072" t="s">
        <v>9</v>
      </c>
      <c r="C1072" t="s">
        <v>23</v>
      </c>
      <c r="D1072" t="s">
        <v>24</v>
      </c>
      <c r="E1072" t="s">
        <v>12</v>
      </c>
      <c r="F1072">
        <v>61344000000</v>
      </c>
      <c r="G1072" s="1">
        <v>43009</v>
      </c>
      <c r="H1072" t="s">
        <v>13</v>
      </c>
      <c r="I1072" t="s">
        <v>14</v>
      </c>
    </row>
    <row r="1073" spans="1:9" x14ac:dyDescent="0.2">
      <c r="A1073">
        <v>320193</v>
      </c>
      <c r="B1073" t="s">
        <v>9</v>
      </c>
      <c r="C1073" t="s">
        <v>23</v>
      </c>
      <c r="D1073" t="s">
        <v>24</v>
      </c>
      <c r="E1073" t="s">
        <v>12</v>
      </c>
      <c r="F1073">
        <v>61344000000</v>
      </c>
      <c r="G1073" s="1">
        <v>43009</v>
      </c>
      <c r="H1073" t="s">
        <v>13</v>
      </c>
      <c r="I1073" t="s">
        <v>14</v>
      </c>
    </row>
    <row r="1074" spans="1:9" x14ac:dyDescent="0.2">
      <c r="A1074">
        <v>320193</v>
      </c>
      <c r="B1074" t="s">
        <v>9</v>
      </c>
      <c r="C1074" t="s">
        <v>23</v>
      </c>
      <c r="D1074" t="s">
        <v>24</v>
      </c>
      <c r="E1074" t="s">
        <v>12</v>
      </c>
      <c r="F1074">
        <v>70898000000</v>
      </c>
      <c r="G1074" s="1">
        <v>43373</v>
      </c>
      <c r="H1074" t="s">
        <v>13</v>
      </c>
      <c r="I1074" t="s">
        <v>14</v>
      </c>
    </row>
    <row r="1075" spans="1:9" x14ac:dyDescent="0.2">
      <c r="A1075">
        <v>320193</v>
      </c>
      <c r="B1075" t="s">
        <v>9</v>
      </c>
      <c r="C1075" t="s">
        <v>23</v>
      </c>
      <c r="D1075" t="s">
        <v>24</v>
      </c>
      <c r="E1075" t="s">
        <v>12</v>
      </c>
      <c r="F1075">
        <v>70898000000</v>
      </c>
      <c r="G1075" s="1">
        <v>43373</v>
      </c>
      <c r="H1075" t="s">
        <v>13</v>
      </c>
      <c r="I1075" t="s">
        <v>14</v>
      </c>
    </row>
    <row r="1076" spans="1:9" x14ac:dyDescent="0.2">
      <c r="A1076">
        <v>320193</v>
      </c>
      <c r="B1076" t="s">
        <v>100</v>
      </c>
      <c r="C1076" t="s">
        <v>23</v>
      </c>
      <c r="D1076" t="s">
        <v>24</v>
      </c>
      <c r="E1076" t="s">
        <v>12</v>
      </c>
      <c r="F1076">
        <v>70898000000</v>
      </c>
      <c r="G1076" s="1">
        <v>43373</v>
      </c>
      <c r="H1076" t="s">
        <v>13</v>
      </c>
      <c r="I1076" t="s">
        <v>14</v>
      </c>
    </row>
    <row r="1077" spans="1:9" x14ac:dyDescent="0.2">
      <c r="A1077">
        <v>320193</v>
      </c>
      <c r="B1077" t="s">
        <v>100</v>
      </c>
      <c r="C1077" t="s">
        <v>23</v>
      </c>
      <c r="D1077" t="s">
        <v>24</v>
      </c>
      <c r="E1077" t="s">
        <v>12</v>
      </c>
      <c r="F1077">
        <v>70898000000</v>
      </c>
      <c r="G1077" s="1">
        <v>43373</v>
      </c>
      <c r="H1077" t="s">
        <v>13</v>
      </c>
      <c r="I1077" t="s">
        <v>14</v>
      </c>
    </row>
    <row r="1078" spans="1:9" x14ac:dyDescent="0.2">
      <c r="A1078">
        <v>320193</v>
      </c>
      <c r="B1078" t="s">
        <v>9</v>
      </c>
      <c r="C1078" t="s">
        <v>23</v>
      </c>
      <c r="D1078" t="s">
        <v>24</v>
      </c>
      <c r="E1078" t="s">
        <v>12</v>
      </c>
      <c r="F1078">
        <v>63930000000</v>
      </c>
      <c r="G1078" s="1">
        <v>43737</v>
      </c>
      <c r="H1078" t="s">
        <v>13</v>
      </c>
      <c r="I1078" t="s">
        <v>14</v>
      </c>
    </row>
    <row r="1079" spans="1:9" x14ac:dyDescent="0.2">
      <c r="A1079">
        <v>320193</v>
      </c>
      <c r="B1079" t="s">
        <v>9</v>
      </c>
      <c r="C1079" t="s">
        <v>23</v>
      </c>
      <c r="D1079" t="s">
        <v>24</v>
      </c>
      <c r="E1079" t="s">
        <v>12</v>
      </c>
      <c r="F1079">
        <v>63930000000</v>
      </c>
      <c r="G1079" s="1">
        <v>43737</v>
      </c>
      <c r="H1079" t="s">
        <v>13</v>
      </c>
      <c r="I1079" t="s">
        <v>14</v>
      </c>
    </row>
    <row r="1080" spans="1:9" x14ac:dyDescent="0.2">
      <c r="A1080">
        <v>320193</v>
      </c>
      <c r="B1080" t="s">
        <v>99</v>
      </c>
      <c r="C1080" t="s">
        <v>23</v>
      </c>
      <c r="D1080" t="s">
        <v>24</v>
      </c>
      <c r="E1080" t="s">
        <v>12</v>
      </c>
      <c r="F1080">
        <v>63930000000</v>
      </c>
      <c r="G1080" s="1">
        <v>43737</v>
      </c>
      <c r="H1080" t="s">
        <v>13</v>
      </c>
      <c r="I1080" t="s">
        <v>14</v>
      </c>
    </row>
    <row r="1081" spans="1:9" x14ac:dyDescent="0.2">
      <c r="A1081">
        <v>320193</v>
      </c>
      <c r="B1081" t="s">
        <v>99</v>
      </c>
      <c r="C1081" t="s">
        <v>23</v>
      </c>
      <c r="D1081" t="s">
        <v>24</v>
      </c>
      <c r="E1081" t="s">
        <v>12</v>
      </c>
      <c r="F1081">
        <v>63930000000</v>
      </c>
      <c r="G1081" s="1">
        <v>43737</v>
      </c>
      <c r="H1081" t="s">
        <v>13</v>
      </c>
      <c r="I1081" t="s">
        <v>14</v>
      </c>
    </row>
    <row r="1082" spans="1:9" x14ac:dyDescent="0.2">
      <c r="A1082">
        <v>320193</v>
      </c>
      <c r="B1082" t="s">
        <v>100</v>
      </c>
      <c r="C1082" t="s">
        <v>23</v>
      </c>
      <c r="D1082" t="s">
        <v>24</v>
      </c>
      <c r="E1082" t="s">
        <v>12</v>
      </c>
      <c r="F1082">
        <v>63930000000</v>
      </c>
      <c r="G1082" s="1">
        <v>43737</v>
      </c>
      <c r="H1082" t="s">
        <v>13</v>
      </c>
      <c r="I1082" t="s">
        <v>14</v>
      </c>
    </row>
    <row r="1083" spans="1:9" x14ac:dyDescent="0.2">
      <c r="A1083">
        <v>320193</v>
      </c>
      <c r="B1083" t="s">
        <v>100</v>
      </c>
      <c r="C1083" t="s">
        <v>23</v>
      </c>
      <c r="D1083" t="s">
        <v>24</v>
      </c>
      <c r="E1083" t="s">
        <v>12</v>
      </c>
      <c r="F1083">
        <v>63930000000</v>
      </c>
      <c r="G1083" s="1">
        <v>43737</v>
      </c>
      <c r="H1083" t="s">
        <v>13</v>
      </c>
      <c r="I1083" t="s">
        <v>14</v>
      </c>
    </row>
    <row r="1084" spans="1:9" x14ac:dyDescent="0.2">
      <c r="A1084">
        <v>320193</v>
      </c>
      <c r="B1084" t="s">
        <v>97</v>
      </c>
      <c r="C1084" t="s">
        <v>23</v>
      </c>
      <c r="D1084" t="s">
        <v>24</v>
      </c>
      <c r="E1084" t="s">
        <v>12</v>
      </c>
      <c r="F1084">
        <v>66288000000</v>
      </c>
      <c r="G1084" s="1">
        <v>44101</v>
      </c>
      <c r="H1084" t="s">
        <v>13</v>
      </c>
      <c r="I1084" t="s">
        <v>14</v>
      </c>
    </row>
    <row r="1085" spans="1:9" x14ac:dyDescent="0.2">
      <c r="A1085">
        <v>320193</v>
      </c>
      <c r="B1085" t="s">
        <v>97</v>
      </c>
      <c r="C1085" t="s">
        <v>23</v>
      </c>
      <c r="D1085" t="s">
        <v>24</v>
      </c>
      <c r="E1085" t="s">
        <v>12</v>
      </c>
      <c r="F1085">
        <v>66288000000</v>
      </c>
      <c r="G1085" s="1">
        <v>44101</v>
      </c>
      <c r="H1085" t="s">
        <v>13</v>
      </c>
      <c r="I1085" t="s">
        <v>14</v>
      </c>
    </row>
    <row r="1086" spans="1:9" x14ac:dyDescent="0.2">
      <c r="A1086">
        <v>320193</v>
      </c>
      <c r="B1086" t="s">
        <v>99</v>
      </c>
      <c r="C1086" t="s">
        <v>23</v>
      </c>
      <c r="D1086" t="s">
        <v>24</v>
      </c>
      <c r="E1086" t="s">
        <v>12</v>
      </c>
      <c r="F1086">
        <v>66288000000</v>
      </c>
      <c r="G1086" s="1">
        <v>44101</v>
      </c>
      <c r="H1086" t="s">
        <v>13</v>
      </c>
      <c r="I1086" t="s">
        <v>14</v>
      </c>
    </row>
    <row r="1087" spans="1:9" x14ac:dyDescent="0.2">
      <c r="A1087">
        <v>320193</v>
      </c>
      <c r="B1087" t="s">
        <v>99</v>
      </c>
      <c r="C1087" t="s">
        <v>23</v>
      </c>
      <c r="D1087" t="s">
        <v>24</v>
      </c>
      <c r="E1087" t="s">
        <v>12</v>
      </c>
      <c r="F1087">
        <v>66288000000</v>
      </c>
      <c r="G1087" s="1">
        <v>44101</v>
      </c>
      <c r="H1087" t="s">
        <v>13</v>
      </c>
      <c r="I1087" t="s">
        <v>14</v>
      </c>
    </row>
    <row r="1088" spans="1:9" x14ac:dyDescent="0.2">
      <c r="A1088">
        <v>320193</v>
      </c>
      <c r="B1088" t="s">
        <v>100</v>
      </c>
      <c r="C1088" t="s">
        <v>23</v>
      </c>
      <c r="D1088" t="s">
        <v>24</v>
      </c>
      <c r="E1088" t="s">
        <v>12</v>
      </c>
      <c r="F1088">
        <v>66288000000</v>
      </c>
      <c r="G1088" s="1">
        <v>44101</v>
      </c>
      <c r="H1088" t="s">
        <v>13</v>
      </c>
      <c r="I1088" t="s">
        <v>14</v>
      </c>
    </row>
    <row r="1089" spans="1:9" x14ac:dyDescent="0.2">
      <c r="A1089">
        <v>320193</v>
      </c>
      <c r="B1089" t="s">
        <v>100</v>
      </c>
      <c r="C1089" t="s">
        <v>23</v>
      </c>
      <c r="D1089" t="s">
        <v>24</v>
      </c>
      <c r="E1089" t="s">
        <v>12</v>
      </c>
      <c r="F1089">
        <v>66288000000</v>
      </c>
      <c r="G1089" s="1">
        <v>44101</v>
      </c>
      <c r="H1089" t="s">
        <v>13</v>
      </c>
      <c r="I1089" t="s">
        <v>14</v>
      </c>
    </row>
    <row r="1090" spans="1:9" x14ac:dyDescent="0.2">
      <c r="A1090">
        <v>320193</v>
      </c>
      <c r="B1090" t="s">
        <v>97</v>
      </c>
      <c r="C1090" t="s">
        <v>23</v>
      </c>
      <c r="D1090" t="s">
        <v>24</v>
      </c>
      <c r="E1090" t="s">
        <v>12</v>
      </c>
      <c r="F1090">
        <v>108949000000</v>
      </c>
      <c r="G1090" s="1">
        <v>44465</v>
      </c>
      <c r="H1090" t="s">
        <v>13</v>
      </c>
      <c r="I1090" t="s">
        <v>14</v>
      </c>
    </row>
    <row r="1091" spans="1:9" x14ac:dyDescent="0.2">
      <c r="A1091">
        <v>320193</v>
      </c>
      <c r="B1091" t="s">
        <v>97</v>
      </c>
      <c r="C1091" t="s">
        <v>23</v>
      </c>
      <c r="D1091" t="s">
        <v>24</v>
      </c>
      <c r="E1091" t="s">
        <v>12</v>
      </c>
      <c r="F1091">
        <v>108949000000</v>
      </c>
      <c r="G1091" s="1">
        <v>44465</v>
      </c>
      <c r="H1091" t="s">
        <v>13</v>
      </c>
      <c r="I1091" t="s">
        <v>14</v>
      </c>
    </row>
    <row r="1092" spans="1:9" x14ac:dyDescent="0.2">
      <c r="A1092">
        <v>320193</v>
      </c>
      <c r="B1092" t="s">
        <v>99</v>
      </c>
      <c r="C1092" t="s">
        <v>23</v>
      </c>
      <c r="D1092" t="s">
        <v>24</v>
      </c>
      <c r="E1092" t="s">
        <v>12</v>
      </c>
      <c r="F1092">
        <v>108949000000</v>
      </c>
      <c r="G1092" s="1">
        <v>44465</v>
      </c>
      <c r="H1092" t="s">
        <v>13</v>
      </c>
      <c r="I1092" t="s">
        <v>14</v>
      </c>
    </row>
    <row r="1093" spans="1:9" x14ac:dyDescent="0.2">
      <c r="A1093">
        <v>320193</v>
      </c>
      <c r="B1093" t="s">
        <v>99</v>
      </c>
      <c r="C1093" t="s">
        <v>23</v>
      </c>
      <c r="D1093" t="s">
        <v>24</v>
      </c>
      <c r="E1093" t="s">
        <v>12</v>
      </c>
      <c r="F1093">
        <v>108949000000</v>
      </c>
      <c r="G1093" s="1">
        <v>44465</v>
      </c>
      <c r="H1093" t="s">
        <v>13</v>
      </c>
      <c r="I1093" t="s">
        <v>14</v>
      </c>
    </row>
    <row r="1094" spans="1:9" x14ac:dyDescent="0.2">
      <c r="A1094">
        <v>320193</v>
      </c>
      <c r="B1094" t="s">
        <v>101</v>
      </c>
      <c r="C1094" t="s">
        <v>23</v>
      </c>
      <c r="D1094" t="s">
        <v>24</v>
      </c>
      <c r="E1094" t="s">
        <v>12</v>
      </c>
      <c r="F1094">
        <v>108949000000</v>
      </c>
      <c r="G1094" s="1">
        <v>44465</v>
      </c>
      <c r="H1094" t="s">
        <v>13</v>
      </c>
      <c r="I1094" t="s">
        <v>14</v>
      </c>
    </row>
    <row r="1095" spans="1:9" x14ac:dyDescent="0.2">
      <c r="A1095">
        <v>320193</v>
      </c>
      <c r="B1095" t="s">
        <v>101</v>
      </c>
      <c r="C1095" t="s">
        <v>23</v>
      </c>
      <c r="D1095" t="s">
        <v>24</v>
      </c>
      <c r="E1095" t="s">
        <v>12</v>
      </c>
      <c r="F1095">
        <v>108949000000</v>
      </c>
      <c r="G1095" s="1">
        <v>44465</v>
      </c>
      <c r="H1095" t="s">
        <v>13</v>
      </c>
      <c r="I1095" t="s">
        <v>14</v>
      </c>
    </row>
    <row r="1096" spans="1:9" x14ac:dyDescent="0.2">
      <c r="A1096">
        <v>320193</v>
      </c>
      <c r="B1096" t="s">
        <v>97</v>
      </c>
      <c r="C1096" t="s">
        <v>23</v>
      </c>
      <c r="D1096" t="s">
        <v>24</v>
      </c>
      <c r="E1096" t="s">
        <v>12</v>
      </c>
      <c r="F1096">
        <v>119437000000</v>
      </c>
      <c r="G1096" s="1">
        <v>44829</v>
      </c>
      <c r="H1096" t="s">
        <v>13</v>
      </c>
      <c r="I1096" t="s">
        <v>14</v>
      </c>
    </row>
    <row r="1097" spans="1:9" x14ac:dyDescent="0.2">
      <c r="A1097">
        <v>320193</v>
      </c>
      <c r="B1097" t="s">
        <v>97</v>
      </c>
      <c r="C1097" t="s">
        <v>23</v>
      </c>
      <c r="D1097" t="s">
        <v>24</v>
      </c>
      <c r="E1097" t="s">
        <v>12</v>
      </c>
      <c r="F1097">
        <v>119437000000</v>
      </c>
      <c r="G1097" s="1">
        <v>44829</v>
      </c>
      <c r="H1097" t="s">
        <v>13</v>
      </c>
      <c r="I1097" t="s">
        <v>14</v>
      </c>
    </row>
    <row r="1098" spans="1:9" x14ac:dyDescent="0.2">
      <c r="A1098">
        <v>320193</v>
      </c>
      <c r="B1098" t="s">
        <v>98</v>
      </c>
      <c r="C1098" t="s">
        <v>23</v>
      </c>
      <c r="D1098" t="s">
        <v>24</v>
      </c>
      <c r="E1098" t="s">
        <v>12</v>
      </c>
      <c r="F1098">
        <v>119437000000</v>
      </c>
      <c r="G1098" s="1">
        <v>44829</v>
      </c>
      <c r="H1098" t="s">
        <v>13</v>
      </c>
      <c r="I1098" t="s">
        <v>14</v>
      </c>
    </row>
    <row r="1099" spans="1:9" x14ac:dyDescent="0.2">
      <c r="A1099">
        <v>320193</v>
      </c>
      <c r="B1099" t="s">
        <v>98</v>
      </c>
      <c r="C1099" t="s">
        <v>23</v>
      </c>
      <c r="D1099" t="s">
        <v>24</v>
      </c>
      <c r="E1099" t="s">
        <v>12</v>
      </c>
      <c r="F1099">
        <v>119437000000</v>
      </c>
      <c r="G1099" s="1">
        <v>44829</v>
      </c>
      <c r="H1099" t="s">
        <v>13</v>
      </c>
      <c r="I1099" t="s">
        <v>14</v>
      </c>
    </row>
    <row r="1100" spans="1:9" x14ac:dyDescent="0.2">
      <c r="A1100">
        <v>320193</v>
      </c>
      <c r="B1100" t="s">
        <v>101</v>
      </c>
      <c r="C1100" t="s">
        <v>23</v>
      </c>
      <c r="D1100" t="s">
        <v>24</v>
      </c>
      <c r="E1100" t="s">
        <v>12</v>
      </c>
      <c r="F1100">
        <v>119437000000</v>
      </c>
      <c r="G1100" s="1">
        <v>44829</v>
      </c>
      <c r="H1100" t="s">
        <v>13</v>
      </c>
      <c r="I1100" t="s">
        <v>14</v>
      </c>
    </row>
    <row r="1101" spans="1:9" x14ac:dyDescent="0.2">
      <c r="A1101">
        <v>320193</v>
      </c>
      <c r="B1101" t="s">
        <v>101</v>
      </c>
      <c r="C1101" t="s">
        <v>23</v>
      </c>
      <c r="D1101" t="s">
        <v>24</v>
      </c>
      <c r="E1101" t="s">
        <v>12</v>
      </c>
      <c r="F1101">
        <v>119437000000</v>
      </c>
      <c r="G1101" s="1">
        <v>44829</v>
      </c>
      <c r="H1101" t="s">
        <v>13</v>
      </c>
      <c r="I1101" t="s">
        <v>14</v>
      </c>
    </row>
    <row r="1102" spans="1:9" x14ac:dyDescent="0.2">
      <c r="A1102">
        <v>320193</v>
      </c>
      <c r="B1102" t="s">
        <v>88</v>
      </c>
      <c r="C1102" t="s">
        <v>23</v>
      </c>
      <c r="D1102" t="s">
        <v>24</v>
      </c>
      <c r="E1102" t="s">
        <v>12</v>
      </c>
      <c r="F1102">
        <v>114301000000</v>
      </c>
      <c r="G1102" s="1">
        <v>45200</v>
      </c>
      <c r="H1102" t="s">
        <v>13</v>
      </c>
      <c r="I1102" t="s">
        <v>14</v>
      </c>
    </row>
    <row r="1103" spans="1:9" x14ac:dyDescent="0.2">
      <c r="A1103">
        <v>320193</v>
      </c>
      <c r="B1103" t="s">
        <v>88</v>
      </c>
      <c r="C1103" t="s">
        <v>23</v>
      </c>
      <c r="D1103" t="s">
        <v>24</v>
      </c>
      <c r="E1103" t="s">
        <v>12</v>
      </c>
      <c r="F1103">
        <v>114301000000</v>
      </c>
      <c r="G1103" s="1">
        <v>45200</v>
      </c>
      <c r="H1103" t="s">
        <v>13</v>
      </c>
      <c r="I1103" t="s">
        <v>14</v>
      </c>
    </row>
    <row r="1104" spans="1:9" x14ac:dyDescent="0.2">
      <c r="A1104">
        <v>320193</v>
      </c>
      <c r="B1104" t="s">
        <v>98</v>
      </c>
      <c r="C1104" t="s">
        <v>23</v>
      </c>
      <c r="D1104" t="s">
        <v>24</v>
      </c>
      <c r="E1104" t="s">
        <v>12</v>
      </c>
      <c r="F1104">
        <v>114301000000</v>
      </c>
      <c r="G1104" s="1">
        <v>45200</v>
      </c>
      <c r="H1104" t="s">
        <v>13</v>
      </c>
      <c r="I1104" t="s">
        <v>14</v>
      </c>
    </row>
    <row r="1105" spans="1:9" x14ac:dyDescent="0.2">
      <c r="A1105">
        <v>320193</v>
      </c>
      <c r="B1105" t="s">
        <v>98</v>
      </c>
      <c r="C1105" t="s">
        <v>23</v>
      </c>
      <c r="D1105" t="s">
        <v>24</v>
      </c>
      <c r="E1105" t="s">
        <v>12</v>
      </c>
      <c r="F1105">
        <v>114301000000</v>
      </c>
      <c r="G1105" s="1">
        <v>45200</v>
      </c>
      <c r="H1105" t="s">
        <v>13</v>
      </c>
      <c r="I1105" t="s">
        <v>14</v>
      </c>
    </row>
    <row r="1106" spans="1:9" x14ac:dyDescent="0.2">
      <c r="A1106">
        <v>320193</v>
      </c>
      <c r="B1106" t="s">
        <v>101</v>
      </c>
      <c r="C1106" t="s">
        <v>23</v>
      </c>
      <c r="D1106" t="s">
        <v>24</v>
      </c>
      <c r="E1106" t="s">
        <v>12</v>
      </c>
      <c r="F1106">
        <v>114301000000</v>
      </c>
      <c r="G1106" s="1">
        <v>45200</v>
      </c>
      <c r="H1106" t="s">
        <v>13</v>
      </c>
      <c r="I1106" t="s">
        <v>14</v>
      </c>
    </row>
    <row r="1107" spans="1:9" x14ac:dyDescent="0.2">
      <c r="A1107">
        <v>320193</v>
      </c>
      <c r="B1107" t="s">
        <v>101</v>
      </c>
      <c r="C1107" t="s">
        <v>23</v>
      </c>
      <c r="D1107" t="s">
        <v>24</v>
      </c>
      <c r="E1107" t="s">
        <v>12</v>
      </c>
      <c r="F1107">
        <v>114301000000</v>
      </c>
      <c r="G1107" s="1">
        <v>45200</v>
      </c>
      <c r="H1107" t="s">
        <v>13</v>
      </c>
      <c r="I1107" t="s">
        <v>14</v>
      </c>
    </row>
    <row r="1108" spans="1:9" x14ac:dyDescent="0.2">
      <c r="A1108">
        <v>320193</v>
      </c>
      <c r="B1108" t="s">
        <v>88</v>
      </c>
      <c r="C1108" t="s">
        <v>23</v>
      </c>
      <c r="D1108" t="s">
        <v>24</v>
      </c>
      <c r="E1108" t="s">
        <v>12</v>
      </c>
      <c r="F1108">
        <v>123216000000</v>
      </c>
      <c r="G1108" s="1">
        <v>45564</v>
      </c>
      <c r="H1108" t="s">
        <v>13</v>
      </c>
      <c r="I1108" t="s">
        <v>14</v>
      </c>
    </row>
    <row r="1109" spans="1:9" x14ac:dyDescent="0.2">
      <c r="A1109">
        <v>320193</v>
      </c>
      <c r="B1109" t="s">
        <v>88</v>
      </c>
      <c r="C1109" t="s">
        <v>23</v>
      </c>
      <c r="D1109" t="s">
        <v>24</v>
      </c>
      <c r="E1109" t="s">
        <v>12</v>
      </c>
      <c r="F1109">
        <v>123216000000</v>
      </c>
      <c r="G1109" s="1">
        <v>45564</v>
      </c>
      <c r="H1109" t="s">
        <v>13</v>
      </c>
      <c r="I1109" t="s">
        <v>14</v>
      </c>
    </row>
    <row r="1110" spans="1:9" x14ac:dyDescent="0.2">
      <c r="A1110">
        <v>320193</v>
      </c>
      <c r="B1110" t="s">
        <v>98</v>
      </c>
      <c r="C1110" t="s">
        <v>23</v>
      </c>
      <c r="D1110" t="s">
        <v>24</v>
      </c>
      <c r="E1110" t="s">
        <v>12</v>
      </c>
      <c r="F1110">
        <v>123216000000</v>
      </c>
      <c r="G1110" s="1">
        <v>45564</v>
      </c>
      <c r="H1110" t="s">
        <v>13</v>
      </c>
      <c r="I1110" t="s">
        <v>14</v>
      </c>
    </row>
    <row r="1111" spans="1:9" x14ac:dyDescent="0.2">
      <c r="A1111">
        <v>320193</v>
      </c>
      <c r="B1111" t="s">
        <v>98</v>
      </c>
      <c r="C1111" t="s">
        <v>23</v>
      </c>
      <c r="D1111" t="s">
        <v>24</v>
      </c>
      <c r="E1111" t="s">
        <v>12</v>
      </c>
      <c r="F1111">
        <v>123216000000</v>
      </c>
      <c r="G1111" s="1">
        <v>45564</v>
      </c>
      <c r="H1111" t="s">
        <v>13</v>
      </c>
      <c r="I1111" t="s">
        <v>14</v>
      </c>
    </row>
    <row r="1112" spans="1:9" x14ac:dyDescent="0.2">
      <c r="A1112">
        <v>320193</v>
      </c>
      <c r="B1112" t="s">
        <v>88</v>
      </c>
      <c r="C1112" t="s">
        <v>23</v>
      </c>
      <c r="D1112" t="s">
        <v>24</v>
      </c>
      <c r="E1112" t="s">
        <v>12</v>
      </c>
      <c r="F1112">
        <v>133050000000</v>
      </c>
      <c r="G1112" s="1">
        <v>45928</v>
      </c>
      <c r="H1112" t="s">
        <v>13</v>
      </c>
      <c r="I1112" t="s">
        <v>14</v>
      </c>
    </row>
    <row r="1113" spans="1:9" x14ac:dyDescent="0.2">
      <c r="A1113">
        <v>320193</v>
      </c>
      <c r="B1113" t="s">
        <v>88</v>
      </c>
      <c r="C1113" t="s">
        <v>23</v>
      </c>
      <c r="D1113" t="s">
        <v>24</v>
      </c>
      <c r="E1113" t="s">
        <v>12</v>
      </c>
      <c r="F1113">
        <v>133050000000</v>
      </c>
      <c r="G1113" s="1">
        <v>45928</v>
      </c>
      <c r="H1113" t="s">
        <v>13</v>
      </c>
      <c r="I1113" t="s">
        <v>14</v>
      </c>
    </row>
    <row r="1114" spans="1:9" x14ac:dyDescent="0.2">
      <c r="A1114">
        <v>320193</v>
      </c>
      <c r="B1114" t="s">
        <v>9</v>
      </c>
      <c r="C1114" t="s">
        <v>15</v>
      </c>
      <c r="D1114" t="s">
        <v>16</v>
      </c>
      <c r="E1114" t="s">
        <v>12</v>
      </c>
      <c r="F1114">
        <v>4754986000</v>
      </c>
      <c r="G1114" s="1">
        <v>43373</v>
      </c>
      <c r="H1114" t="s">
        <v>13</v>
      </c>
      <c r="I1114" t="s">
        <v>14</v>
      </c>
    </row>
    <row r="1115" spans="1:9" x14ac:dyDescent="0.2">
      <c r="A1115">
        <v>320193</v>
      </c>
      <c r="B1115" t="s">
        <v>9</v>
      </c>
      <c r="C1115" t="s">
        <v>15</v>
      </c>
      <c r="D1115" t="s">
        <v>16</v>
      </c>
      <c r="E1115" t="s">
        <v>12</v>
      </c>
      <c r="F1115">
        <v>4443236000</v>
      </c>
      <c r="G1115" s="1">
        <v>43737</v>
      </c>
      <c r="H1115" t="s">
        <v>13</v>
      </c>
      <c r="I1115" t="s">
        <v>14</v>
      </c>
    </row>
    <row r="1116" spans="1:9" x14ac:dyDescent="0.2">
      <c r="A1116">
        <v>320193</v>
      </c>
      <c r="B1116" t="s">
        <v>100</v>
      </c>
      <c r="C1116" t="s">
        <v>15</v>
      </c>
      <c r="D1116" t="s">
        <v>16</v>
      </c>
      <c r="E1116" t="s">
        <v>12</v>
      </c>
      <c r="F1116">
        <v>17772945000</v>
      </c>
      <c r="G1116" s="1">
        <v>43737</v>
      </c>
      <c r="H1116" t="s">
        <v>13</v>
      </c>
      <c r="I1116" t="s">
        <v>14</v>
      </c>
    </row>
    <row r="1117" spans="1:9" x14ac:dyDescent="0.2">
      <c r="A1117">
        <v>320193</v>
      </c>
      <c r="B1117" t="s">
        <v>99</v>
      </c>
      <c r="C1117" t="s">
        <v>15</v>
      </c>
      <c r="D1117" t="s">
        <v>16</v>
      </c>
      <c r="E1117" t="s">
        <v>12</v>
      </c>
      <c r="F1117">
        <v>16976763000</v>
      </c>
      <c r="G1117" s="1">
        <v>44101</v>
      </c>
      <c r="H1117" t="s">
        <v>13</v>
      </c>
      <c r="I1117" t="s">
        <v>14</v>
      </c>
    </row>
    <row r="1118" spans="1:9" x14ac:dyDescent="0.2">
      <c r="A1118">
        <v>320193</v>
      </c>
      <c r="B1118" t="s">
        <v>100</v>
      </c>
      <c r="C1118" t="s">
        <v>15</v>
      </c>
      <c r="D1118" t="s">
        <v>16</v>
      </c>
      <c r="E1118" t="s">
        <v>12</v>
      </c>
      <c r="F1118">
        <v>16976763000</v>
      </c>
      <c r="G1118" s="1">
        <v>44101</v>
      </c>
      <c r="H1118" t="s">
        <v>13</v>
      </c>
      <c r="I1118" t="s">
        <v>14</v>
      </c>
    </row>
    <row r="1119" spans="1:9" x14ac:dyDescent="0.2">
      <c r="A1119">
        <v>320193</v>
      </c>
      <c r="B1119" t="s">
        <v>97</v>
      </c>
      <c r="C1119" t="s">
        <v>15</v>
      </c>
      <c r="D1119" t="s">
        <v>16</v>
      </c>
      <c r="E1119" t="s">
        <v>12</v>
      </c>
      <c r="F1119">
        <v>16426786000</v>
      </c>
      <c r="G1119" s="1">
        <v>44465</v>
      </c>
      <c r="H1119" t="s">
        <v>13</v>
      </c>
      <c r="I1119" t="s">
        <v>14</v>
      </c>
    </row>
    <row r="1120" spans="1:9" x14ac:dyDescent="0.2">
      <c r="A1120">
        <v>320193</v>
      </c>
      <c r="B1120" t="s">
        <v>99</v>
      </c>
      <c r="C1120" t="s">
        <v>15</v>
      </c>
      <c r="D1120" t="s">
        <v>16</v>
      </c>
      <c r="E1120" t="s">
        <v>12</v>
      </c>
      <c r="F1120">
        <v>16426786000</v>
      </c>
      <c r="G1120" s="1">
        <v>44465</v>
      </c>
      <c r="H1120" t="s">
        <v>13</v>
      </c>
      <c r="I1120" t="s">
        <v>14</v>
      </c>
    </row>
    <row r="1121" spans="1:9" x14ac:dyDescent="0.2">
      <c r="A1121">
        <v>320193</v>
      </c>
      <c r="B1121" t="s">
        <v>97</v>
      </c>
      <c r="C1121" t="s">
        <v>15</v>
      </c>
      <c r="D1121" t="s">
        <v>16</v>
      </c>
      <c r="E1121" t="s">
        <v>12</v>
      </c>
      <c r="F1121">
        <v>15943425000</v>
      </c>
      <c r="G1121" s="1">
        <v>44829</v>
      </c>
      <c r="H1121" t="s">
        <v>13</v>
      </c>
      <c r="I1121" t="s">
        <v>14</v>
      </c>
    </row>
    <row r="1122" spans="1:9" x14ac:dyDescent="0.2">
      <c r="A1122">
        <v>320193</v>
      </c>
      <c r="B1122" t="s">
        <v>101</v>
      </c>
      <c r="C1122" t="s">
        <v>15</v>
      </c>
      <c r="D1122" t="s">
        <v>16</v>
      </c>
      <c r="E1122" t="s">
        <v>12</v>
      </c>
      <c r="F1122">
        <v>15943425000</v>
      </c>
      <c r="G1122" s="1">
        <v>44829</v>
      </c>
      <c r="H1122" t="s">
        <v>13</v>
      </c>
      <c r="I1122" t="s">
        <v>14</v>
      </c>
    </row>
    <row r="1123" spans="1:9" x14ac:dyDescent="0.2">
      <c r="A1123">
        <v>320193</v>
      </c>
      <c r="B1123" t="s">
        <v>98</v>
      </c>
      <c r="C1123" t="s">
        <v>15</v>
      </c>
      <c r="D1123" t="s">
        <v>16</v>
      </c>
      <c r="E1123" t="s">
        <v>12</v>
      </c>
      <c r="F1123">
        <v>15550061000</v>
      </c>
      <c r="G1123" s="1">
        <v>45200</v>
      </c>
      <c r="H1123" t="s">
        <v>13</v>
      </c>
      <c r="I1123" t="s">
        <v>14</v>
      </c>
    </row>
    <row r="1124" spans="1:9" x14ac:dyDescent="0.2">
      <c r="A1124">
        <v>320193</v>
      </c>
      <c r="B1124" t="s">
        <v>101</v>
      </c>
      <c r="C1124" t="s">
        <v>15</v>
      </c>
      <c r="D1124" t="s">
        <v>16</v>
      </c>
      <c r="E1124" t="s">
        <v>12</v>
      </c>
      <c r="F1124">
        <v>15550061000</v>
      </c>
      <c r="G1124" s="1">
        <v>45200</v>
      </c>
      <c r="H1124" t="s">
        <v>13</v>
      </c>
      <c r="I1124" t="s">
        <v>14</v>
      </c>
    </row>
    <row r="1125" spans="1:9" x14ac:dyDescent="0.2">
      <c r="A1125">
        <v>320193</v>
      </c>
      <c r="B1125" t="s">
        <v>88</v>
      </c>
      <c r="C1125" t="s">
        <v>15</v>
      </c>
      <c r="D1125" t="s">
        <v>16</v>
      </c>
      <c r="E1125" t="s">
        <v>12</v>
      </c>
      <c r="F1125">
        <v>15116786000</v>
      </c>
      <c r="G1125" s="1">
        <v>45564</v>
      </c>
      <c r="H1125" t="s">
        <v>13</v>
      </c>
      <c r="I1125" t="s">
        <v>14</v>
      </c>
    </row>
    <row r="1126" spans="1:9" x14ac:dyDescent="0.2">
      <c r="A1126">
        <v>320193</v>
      </c>
      <c r="B1126" t="s">
        <v>98</v>
      </c>
      <c r="C1126" t="s">
        <v>15</v>
      </c>
      <c r="D1126" t="s">
        <v>16</v>
      </c>
      <c r="E1126" t="s">
        <v>12</v>
      </c>
      <c r="F1126">
        <v>15116786000</v>
      </c>
      <c r="G1126" s="1">
        <v>45564</v>
      </c>
      <c r="H1126" t="s">
        <v>13</v>
      </c>
      <c r="I1126" t="s">
        <v>14</v>
      </c>
    </row>
    <row r="1127" spans="1:9" x14ac:dyDescent="0.2">
      <c r="A1127">
        <v>320193</v>
      </c>
      <c r="B1127" t="s">
        <v>88</v>
      </c>
      <c r="C1127" t="s">
        <v>15</v>
      </c>
      <c r="D1127" t="s">
        <v>16</v>
      </c>
      <c r="E1127" t="s">
        <v>12</v>
      </c>
      <c r="F1127">
        <v>14773260000</v>
      </c>
      <c r="G1127" s="1">
        <v>45928</v>
      </c>
      <c r="H1127" t="s">
        <v>13</v>
      </c>
      <c r="I1127" t="s">
        <v>14</v>
      </c>
    </row>
    <row r="1128" spans="1:9" x14ac:dyDescent="0.2">
      <c r="A1128">
        <v>320193</v>
      </c>
      <c r="B1128" t="s">
        <v>9</v>
      </c>
      <c r="C1128" t="s">
        <v>124</v>
      </c>
      <c r="D1128" t="s">
        <v>125</v>
      </c>
      <c r="E1128" t="s">
        <v>12</v>
      </c>
      <c r="F1128">
        <v>12087000000</v>
      </c>
      <c r="G1128" s="1">
        <v>43373</v>
      </c>
      <c r="H1128" t="s">
        <v>13</v>
      </c>
      <c r="I1128" t="s">
        <v>14</v>
      </c>
    </row>
    <row r="1129" spans="1:9" x14ac:dyDescent="0.2">
      <c r="A1129">
        <v>320193</v>
      </c>
      <c r="B1129" t="s">
        <v>9</v>
      </c>
      <c r="C1129" t="s">
        <v>124</v>
      </c>
      <c r="D1129" t="s">
        <v>125</v>
      </c>
      <c r="E1129" t="s">
        <v>12</v>
      </c>
      <c r="F1129">
        <v>12352000000</v>
      </c>
      <c r="G1129" s="1">
        <v>43737</v>
      </c>
      <c r="H1129" t="s">
        <v>13</v>
      </c>
      <c r="I1129" t="s">
        <v>14</v>
      </c>
    </row>
    <row r="1130" spans="1:9" x14ac:dyDescent="0.2">
      <c r="A1130">
        <v>320193</v>
      </c>
      <c r="B1130" t="s">
        <v>100</v>
      </c>
      <c r="C1130" t="s">
        <v>124</v>
      </c>
      <c r="D1130" t="s">
        <v>125</v>
      </c>
      <c r="E1130" t="s">
        <v>12</v>
      </c>
      <c r="F1130">
        <v>12352000000</v>
      </c>
      <c r="G1130" s="1">
        <v>43737</v>
      </c>
      <c r="H1130" t="s">
        <v>13</v>
      </c>
      <c r="I1130" t="s">
        <v>14</v>
      </c>
    </row>
    <row r="1131" spans="1:9" x14ac:dyDescent="0.2">
      <c r="A1131">
        <v>320193</v>
      </c>
      <c r="B1131" t="s">
        <v>99</v>
      </c>
      <c r="C1131" t="s">
        <v>124</v>
      </c>
      <c r="D1131" t="s">
        <v>125</v>
      </c>
      <c r="E1131" t="s">
        <v>12</v>
      </c>
      <c r="F1131">
        <v>11264000000</v>
      </c>
      <c r="G1131" s="1">
        <v>44101</v>
      </c>
      <c r="H1131" t="s">
        <v>13</v>
      </c>
      <c r="I1131" t="s">
        <v>14</v>
      </c>
    </row>
    <row r="1132" spans="1:9" x14ac:dyDescent="0.2">
      <c r="A1132">
        <v>320193</v>
      </c>
      <c r="B1132" t="s">
        <v>100</v>
      </c>
      <c r="C1132" t="s">
        <v>124</v>
      </c>
      <c r="D1132" t="s">
        <v>125</v>
      </c>
      <c r="E1132" t="s">
        <v>12</v>
      </c>
      <c r="F1132">
        <v>11264000000</v>
      </c>
      <c r="G1132" s="1">
        <v>44101</v>
      </c>
      <c r="H1132" t="s">
        <v>13</v>
      </c>
      <c r="I1132" t="s">
        <v>14</v>
      </c>
    </row>
    <row r="1133" spans="1:9" x14ac:dyDescent="0.2">
      <c r="A1133">
        <v>320193</v>
      </c>
      <c r="B1133" t="s">
        <v>97</v>
      </c>
      <c r="C1133" t="s">
        <v>124</v>
      </c>
      <c r="D1133" t="s">
        <v>125</v>
      </c>
      <c r="E1133" t="s">
        <v>12</v>
      </c>
      <c r="F1133">
        <v>14111000000</v>
      </c>
      <c r="G1133" s="1">
        <v>44465</v>
      </c>
      <c r="H1133" t="s">
        <v>13</v>
      </c>
      <c r="I1133" t="s">
        <v>14</v>
      </c>
    </row>
    <row r="1134" spans="1:9" x14ac:dyDescent="0.2">
      <c r="A1134">
        <v>320193</v>
      </c>
      <c r="B1134" t="s">
        <v>99</v>
      </c>
      <c r="C1134" t="s">
        <v>124</v>
      </c>
      <c r="D1134" t="s">
        <v>125</v>
      </c>
      <c r="E1134" t="s">
        <v>12</v>
      </c>
      <c r="F1134">
        <v>14111000000</v>
      </c>
      <c r="G1134" s="1">
        <v>44465</v>
      </c>
      <c r="H1134" t="s">
        <v>13</v>
      </c>
      <c r="I1134" t="s">
        <v>14</v>
      </c>
    </row>
    <row r="1135" spans="1:9" x14ac:dyDescent="0.2">
      <c r="A1135">
        <v>320193</v>
      </c>
      <c r="B1135" t="s">
        <v>97</v>
      </c>
      <c r="C1135" t="s">
        <v>124</v>
      </c>
      <c r="D1135" t="s">
        <v>125</v>
      </c>
      <c r="E1135" t="s">
        <v>12</v>
      </c>
      <c r="F1135">
        <v>21223000000</v>
      </c>
      <c r="G1135" s="1">
        <v>44829</v>
      </c>
      <c r="H1135" t="s">
        <v>13</v>
      </c>
      <c r="I1135" t="s">
        <v>14</v>
      </c>
    </row>
    <row r="1136" spans="1:9" x14ac:dyDescent="0.2">
      <c r="A1136">
        <v>320193</v>
      </c>
      <c r="B1136" t="s">
        <v>101</v>
      </c>
      <c r="C1136" t="s">
        <v>124</v>
      </c>
      <c r="D1136" t="s">
        <v>125</v>
      </c>
      <c r="E1136" t="s">
        <v>12</v>
      </c>
      <c r="F1136">
        <v>21223000000</v>
      </c>
      <c r="G1136" s="1">
        <v>44829</v>
      </c>
      <c r="H1136" t="s">
        <v>13</v>
      </c>
      <c r="I1136" t="s">
        <v>14</v>
      </c>
    </row>
    <row r="1137" spans="1:9" x14ac:dyDescent="0.2">
      <c r="A1137">
        <v>320193</v>
      </c>
      <c r="B1137" t="s">
        <v>98</v>
      </c>
      <c r="C1137" t="s">
        <v>124</v>
      </c>
      <c r="D1137" t="s">
        <v>125</v>
      </c>
      <c r="E1137" t="s">
        <v>12</v>
      </c>
      <c r="F1137">
        <v>14695000000</v>
      </c>
      <c r="G1137" s="1">
        <v>45200</v>
      </c>
      <c r="H1137" t="s">
        <v>13</v>
      </c>
      <c r="I1137" t="s">
        <v>14</v>
      </c>
    </row>
    <row r="1138" spans="1:9" x14ac:dyDescent="0.2">
      <c r="A1138">
        <v>320193</v>
      </c>
      <c r="B1138" t="s">
        <v>101</v>
      </c>
      <c r="C1138" t="s">
        <v>124</v>
      </c>
      <c r="D1138" t="s">
        <v>125</v>
      </c>
      <c r="E1138" t="s">
        <v>12</v>
      </c>
      <c r="F1138">
        <v>14695000000</v>
      </c>
      <c r="G1138" s="1">
        <v>45200</v>
      </c>
      <c r="H1138" t="s">
        <v>13</v>
      </c>
      <c r="I1138" t="s">
        <v>14</v>
      </c>
    </row>
    <row r="1139" spans="1:9" x14ac:dyDescent="0.2">
      <c r="A1139">
        <v>320193</v>
      </c>
      <c r="B1139" t="s">
        <v>88</v>
      </c>
      <c r="C1139" t="s">
        <v>124</v>
      </c>
      <c r="D1139" t="s">
        <v>125</v>
      </c>
      <c r="E1139" t="s">
        <v>12</v>
      </c>
      <c r="F1139">
        <v>14287000000</v>
      </c>
      <c r="G1139" s="1">
        <v>45564</v>
      </c>
      <c r="H1139" t="s">
        <v>13</v>
      </c>
      <c r="I1139" t="s">
        <v>14</v>
      </c>
    </row>
    <row r="1140" spans="1:9" x14ac:dyDescent="0.2">
      <c r="A1140">
        <v>320193</v>
      </c>
      <c r="B1140" t="s">
        <v>98</v>
      </c>
      <c r="C1140" t="s">
        <v>124</v>
      </c>
      <c r="D1140" t="s">
        <v>125</v>
      </c>
      <c r="E1140" t="s">
        <v>12</v>
      </c>
      <c r="F1140">
        <v>14287000000</v>
      </c>
      <c r="G1140" s="1">
        <v>45564</v>
      </c>
      <c r="H1140" t="s">
        <v>13</v>
      </c>
      <c r="I1140" t="s">
        <v>14</v>
      </c>
    </row>
    <row r="1141" spans="1:9" x14ac:dyDescent="0.2">
      <c r="A1141">
        <v>320193</v>
      </c>
      <c r="B1141" t="s">
        <v>88</v>
      </c>
      <c r="C1141" t="s">
        <v>124</v>
      </c>
      <c r="D1141" t="s">
        <v>125</v>
      </c>
      <c r="E1141" t="s">
        <v>12</v>
      </c>
      <c r="F1141">
        <v>14585000000</v>
      </c>
      <c r="G1141" s="1">
        <v>45928</v>
      </c>
      <c r="H1141" t="s">
        <v>13</v>
      </c>
      <c r="I1141" t="s">
        <v>14</v>
      </c>
    </row>
    <row r="1142" spans="1:9" x14ac:dyDescent="0.2">
      <c r="A1142">
        <v>320193</v>
      </c>
      <c r="B1142" t="s">
        <v>9</v>
      </c>
      <c r="C1142" t="s">
        <v>51</v>
      </c>
      <c r="D1142" t="s">
        <v>52</v>
      </c>
      <c r="E1142" t="s">
        <v>12</v>
      </c>
      <c r="F1142">
        <v>33327000000</v>
      </c>
      <c r="G1142" s="1">
        <v>43373</v>
      </c>
      <c r="H1142" t="s">
        <v>13</v>
      </c>
      <c r="I1142" t="s">
        <v>14</v>
      </c>
    </row>
    <row r="1143" spans="1:9" x14ac:dyDescent="0.2">
      <c r="A1143">
        <v>320193</v>
      </c>
      <c r="B1143" t="s">
        <v>9</v>
      </c>
      <c r="C1143" t="s">
        <v>51</v>
      </c>
      <c r="D1143" t="s">
        <v>52</v>
      </c>
      <c r="E1143" t="s">
        <v>12</v>
      </c>
      <c r="F1143">
        <v>37720000000</v>
      </c>
      <c r="G1143" s="1">
        <v>43737</v>
      </c>
      <c r="H1143" t="s">
        <v>13</v>
      </c>
      <c r="I1143" t="s">
        <v>14</v>
      </c>
    </row>
    <row r="1144" spans="1:9" x14ac:dyDescent="0.2">
      <c r="A1144">
        <v>320193</v>
      </c>
      <c r="B1144" t="s">
        <v>100</v>
      </c>
      <c r="C1144" t="s">
        <v>51</v>
      </c>
      <c r="D1144" t="s">
        <v>52</v>
      </c>
      <c r="E1144" t="s">
        <v>12</v>
      </c>
      <c r="F1144">
        <v>37720000000</v>
      </c>
      <c r="G1144" s="1">
        <v>43737</v>
      </c>
      <c r="H1144" t="s">
        <v>13</v>
      </c>
      <c r="I1144" t="s">
        <v>14</v>
      </c>
    </row>
    <row r="1145" spans="1:9" x14ac:dyDescent="0.2">
      <c r="A1145">
        <v>320193</v>
      </c>
      <c r="B1145" t="s">
        <v>99</v>
      </c>
      <c r="C1145" t="s">
        <v>51</v>
      </c>
      <c r="D1145" t="s">
        <v>52</v>
      </c>
      <c r="E1145" t="s">
        <v>12</v>
      </c>
      <c r="F1145">
        <v>42684000000</v>
      </c>
      <c r="G1145" s="1">
        <v>44101</v>
      </c>
      <c r="H1145" t="s">
        <v>13</v>
      </c>
      <c r="I1145" t="s">
        <v>14</v>
      </c>
    </row>
    <row r="1146" spans="1:9" x14ac:dyDescent="0.2">
      <c r="A1146">
        <v>320193</v>
      </c>
      <c r="B1146" t="s">
        <v>100</v>
      </c>
      <c r="C1146" t="s">
        <v>51</v>
      </c>
      <c r="D1146" t="s">
        <v>52</v>
      </c>
      <c r="E1146" t="s">
        <v>12</v>
      </c>
      <c r="F1146">
        <v>42684000000</v>
      </c>
      <c r="G1146" s="1">
        <v>44101</v>
      </c>
      <c r="H1146" t="s">
        <v>13</v>
      </c>
      <c r="I1146" t="s">
        <v>14</v>
      </c>
    </row>
    <row r="1147" spans="1:9" x14ac:dyDescent="0.2">
      <c r="A1147">
        <v>320193</v>
      </c>
      <c r="B1147" t="s">
        <v>97</v>
      </c>
      <c r="C1147" t="s">
        <v>51</v>
      </c>
      <c r="D1147" t="s">
        <v>52</v>
      </c>
      <c r="E1147" t="s">
        <v>12</v>
      </c>
      <c r="F1147">
        <v>47493000000</v>
      </c>
      <c r="G1147" s="1">
        <v>44465</v>
      </c>
      <c r="H1147" t="s">
        <v>13</v>
      </c>
      <c r="I1147" t="s">
        <v>14</v>
      </c>
    </row>
    <row r="1148" spans="1:9" x14ac:dyDescent="0.2">
      <c r="A1148">
        <v>320193</v>
      </c>
      <c r="B1148" t="s">
        <v>99</v>
      </c>
      <c r="C1148" t="s">
        <v>51</v>
      </c>
      <c r="D1148" t="s">
        <v>52</v>
      </c>
      <c r="E1148" t="s">
        <v>12</v>
      </c>
      <c r="F1148">
        <v>47493000000</v>
      </c>
      <c r="G1148" s="1">
        <v>44465</v>
      </c>
      <c r="H1148" t="s">
        <v>13</v>
      </c>
      <c r="I1148" t="s">
        <v>14</v>
      </c>
    </row>
    <row r="1149" spans="1:9" x14ac:dyDescent="0.2">
      <c r="A1149">
        <v>320193</v>
      </c>
      <c r="B1149" t="s">
        <v>97</v>
      </c>
      <c r="C1149" t="s">
        <v>51</v>
      </c>
      <c r="D1149" t="s">
        <v>52</v>
      </c>
      <c r="E1149" t="s">
        <v>12</v>
      </c>
      <c r="F1149">
        <v>60845000000</v>
      </c>
      <c r="G1149" s="1">
        <v>44829</v>
      </c>
      <c r="H1149" t="s">
        <v>13</v>
      </c>
      <c r="I1149" t="s">
        <v>14</v>
      </c>
    </row>
    <row r="1150" spans="1:9" x14ac:dyDescent="0.2">
      <c r="A1150">
        <v>320193</v>
      </c>
      <c r="B1150" t="s">
        <v>101</v>
      </c>
      <c r="C1150" t="s">
        <v>51</v>
      </c>
      <c r="D1150" t="s">
        <v>52</v>
      </c>
      <c r="E1150" t="s">
        <v>12</v>
      </c>
      <c r="F1150">
        <v>60845000000</v>
      </c>
      <c r="G1150" s="1">
        <v>44829</v>
      </c>
      <c r="H1150" t="s">
        <v>13</v>
      </c>
      <c r="I1150" t="s">
        <v>14</v>
      </c>
    </row>
    <row r="1151" spans="1:9" x14ac:dyDescent="0.2">
      <c r="A1151">
        <v>320193</v>
      </c>
      <c r="B1151" t="s">
        <v>101</v>
      </c>
      <c r="C1151" t="s">
        <v>51</v>
      </c>
      <c r="D1151" t="s">
        <v>52</v>
      </c>
      <c r="E1151" t="s">
        <v>12</v>
      </c>
      <c r="F1151">
        <v>60845000000</v>
      </c>
      <c r="G1151" s="1">
        <v>44829</v>
      </c>
      <c r="H1151" t="s">
        <v>13</v>
      </c>
      <c r="I1151" t="s">
        <v>14</v>
      </c>
    </row>
    <row r="1152" spans="1:9" x14ac:dyDescent="0.2">
      <c r="A1152">
        <v>320193</v>
      </c>
      <c r="B1152" t="s">
        <v>98</v>
      </c>
      <c r="C1152" t="s">
        <v>51</v>
      </c>
      <c r="D1152" t="s">
        <v>52</v>
      </c>
      <c r="E1152" t="s">
        <v>12</v>
      </c>
      <c r="F1152">
        <v>58829000000</v>
      </c>
      <c r="G1152" s="1">
        <v>45200</v>
      </c>
      <c r="H1152" t="s">
        <v>13</v>
      </c>
      <c r="I1152" t="s">
        <v>14</v>
      </c>
    </row>
    <row r="1153" spans="1:9" x14ac:dyDescent="0.2">
      <c r="A1153">
        <v>320193</v>
      </c>
      <c r="B1153" t="s">
        <v>98</v>
      </c>
      <c r="C1153" t="s">
        <v>51</v>
      </c>
      <c r="D1153" t="s">
        <v>52</v>
      </c>
      <c r="E1153" t="s">
        <v>12</v>
      </c>
      <c r="F1153">
        <v>58829000000</v>
      </c>
      <c r="G1153" s="1">
        <v>45200</v>
      </c>
      <c r="H1153" t="s">
        <v>13</v>
      </c>
      <c r="I1153" t="s">
        <v>14</v>
      </c>
    </row>
    <row r="1154" spans="1:9" x14ac:dyDescent="0.2">
      <c r="A1154">
        <v>320193</v>
      </c>
      <c r="B1154" t="s">
        <v>101</v>
      </c>
      <c r="C1154" t="s">
        <v>51</v>
      </c>
      <c r="D1154" t="s">
        <v>52</v>
      </c>
      <c r="E1154" t="s">
        <v>12</v>
      </c>
      <c r="F1154">
        <v>58829000000</v>
      </c>
      <c r="G1154" s="1">
        <v>45200</v>
      </c>
      <c r="H1154" t="s">
        <v>13</v>
      </c>
      <c r="I1154" t="s">
        <v>14</v>
      </c>
    </row>
    <row r="1155" spans="1:9" x14ac:dyDescent="0.2">
      <c r="A1155">
        <v>320193</v>
      </c>
      <c r="B1155" t="s">
        <v>101</v>
      </c>
      <c r="C1155" t="s">
        <v>51</v>
      </c>
      <c r="D1155" t="s">
        <v>52</v>
      </c>
      <c r="E1155" t="s">
        <v>12</v>
      </c>
      <c r="F1155">
        <v>58829000000</v>
      </c>
      <c r="G1155" s="1">
        <v>45200</v>
      </c>
      <c r="H1155" t="s">
        <v>13</v>
      </c>
      <c r="I1155" t="s">
        <v>14</v>
      </c>
    </row>
    <row r="1156" spans="1:9" x14ac:dyDescent="0.2">
      <c r="A1156">
        <v>320193</v>
      </c>
      <c r="B1156" t="s">
        <v>88</v>
      </c>
      <c r="C1156" t="s">
        <v>51</v>
      </c>
      <c r="D1156" t="s">
        <v>52</v>
      </c>
      <c r="E1156" t="s">
        <v>12</v>
      </c>
      <c r="F1156">
        <v>78304000000</v>
      </c>
      <c r="G1156" s="1">
        <v>45564</v>
      </c>
      <c r="H1156" t="s">
        <v>13</v>
      </c>
      <c r="I1156" t="s">
        <v>14</v>
      </c>
    </row>
    <row r="1157" spans="1:9" x14ac:dyDescent="0.2">
      <c r="A1157">
        <v>320193</v>
      </c>
      <c r="B1157" t="s">
        <v>88</v>
      </c>
      <c r="C1157" t="s">
        <v>51</v>
      </c>
      <c r="D1157" t="s">
        <v>52</v>
      </c>
      <c r="E1157" t="s">
        <v>12</v>
      </c>
      <c r="F1157">
        <v>78304000000</v>
      </c>
      <c r="G1157" s="1">
        <v>45564</v>
      </c>
      <c r="H1157" t="s">
        <v>13</v>
      </c>
      <c r="I1157" t="s">
        <v>14</v>
      </c>
    </row>
    <row r="1158" spans="1:9" x14ac:dyDescent="0.2">
      <c r="A1158">
        <v>320193</v>
      </c>
      <c r="B1158" t="s">
        <v>98</v>
      </c>
      <c r="C1158" t="s">
        <v>51</v>
      </c>
      <c r="D1158" t="s">
        <v>52</v>
      </c>
      <c r="E1158" t="s">
        <v>12</v>
      </c>
      <c r="F1158">
        <v>78304000000</v>
      </c>
      <c r="G1158" s="1">
        <v>45564</v>
      </c>
      <c r="H1158" t="s">
        <v>13</v>
      </c>
      <c r="I1158" t="s">
        <v>14</v>
      </c>
    </row>
    <row r="1159" spans="1:9" x14ac:dyDescent="0.2">
      <c r="A1159">
        <v>320193</v>
      </c>
      <c r="B1159" t="s">
        <v>98</v>
      </c>
      <c r="C1159" t="s">
        <v>51</v>
      </c>
      <c r="D1159" t="s">
        <v>52</v>
      </c>
      <c r="E1159" t="s">
        <v>12</v>
      </c>
      <c r="F1159">
        <v>78304000000</v>
      </c>
      <c r="G1159" s="1">
        <v>45564</v>
      </c>
      <c r="H1159" t="s">
        <v>13</v>
      </c>
      <c r="I1159" t="s">
        <v>14</v>
      </c>
    </row>
    <row r="1160" spans="1:9" x14ac:dyDescent="0.2">
      <c r="A1160">
        <v>320193</v>
      </c>
      <c r="B1160" t="s">
        <v>88</v>
      </c>
      <c r="C1160" t="s">
        <v>51</v>
      </c>
      <c r="D1160" t="s">
        <v>52</v>
      </c>
      <c r="E1160" t="s">
        <v>12</v>
      </c>
      <c r="F1160">
        <v>66387000000</v>
      </c>
      <c r="G1160" s="1">
        <v>45928</v>
      </c>
      <c r="H1160" t="s">
        <v>13</v>
      </c>
      <c r="I1160" t="s">
        <v>14</v>
      </c>
    </row>
    <row r="1161" spans="1:9" x14ac:dyDescent="0.2">
      <c r="A1161">
        <v>320193</v>
      </c>
      <c r="B1161" t="s">
        <v>88</v>
      </c>
      <c r="C1161" t="s">
        <v>51</v>
      </c>
      <c r="D1161" t="s">
        <v>52</v>
      </c>
      <c r="E1161" t="s">
        <v>12</v>
      </c>
      <c r="F1161">
        <v>66387000000</v>
      </c>
      <c r="G1161" s="1">
        <v>45928</v>
      </c>
      <c r="H1161" t="s">
        <v>13</v>
      </c>
      <c r="I1161" t="s">
        <v>14</v>
      </c>
    </row>
    <row r="1162" spans="1:9" x14ac:dyDescent="0.2">
      <c r="A1162">
        <v>320193</v>
      </c>
      <c r="B1162" t="s">
        <v>9</v>
      </c>
      <c r="C1162" t="s">
        <v>126</v>
      </c>
      <c r="D1162" t="s">
        <v>127</v>
      </c>
      <c r="E1162" t="s">
        <v>12</v>
      </c>
      <c r="F1162">
        <v>22283000000</v>
      </c>
      <c r="G1162" s="1">
        <v>43373</v>
      </c>
      <c r="H1162" t="s">
        <v>13</v>
      </c>
      <c r="I1162" t="s">
        <v>14</v>
      </c>
    </row>
    <row r="1163" spans="1:9" x14ac:dyDescent="0.2">
      <c r="A1163">
        <v>320193</v>
      </c>
      <c r="B1163" t="s">
        <v>9</v>
      </c>
      <c r="C1163" t="s">
        <v>126</v>
      </c>
      <c r="D1163" t="s">
        <v>127</v>
      </c>
      <c r="E1163" t="s">
        <v>12</v>
      </c>
      <c r="F1163">
        <v>32978000000</v>
      </c>
      <c r="G1163" s="1">
        <v>43737</v>
      </c>
      <c r="H1163" t="s">
        <v>13</v>
      </c>
      <c r="I1163" t="s">
        <v>14</v>
      </c>
    </row>
    <row r="1164" spans="1:9" x14ac:dyDescent="0.2">
      <c r="A1164">
        <v>320193</v>
      </c>
      <c r="B1164" t="s">
        <v>100</v>
      </c>
      <c r="C1164" t="s">
        <v>126</v>
      </c>
      <c r="D1164" t="s">
        <v>127</v>
      </c>
      <c r="E1164" t="s">
        <v>12</v>
      </c>
      <c r="F1164">
        <v>32978000000</v>
      </c>
      <c r="G1164" s="1">
        <v>43737</v>
      </c>
      <c r="H1164" t="s">
        <v>13</v>
      </c>
      <c r="I1164" t="s">
        <v>14</v>
      </c>
    </row>
    <row r="1165" spans="1:9" x14ac:dyDescent="0.2">
      <c r="A1165">
        <v>320193</v>
      </c>
      <c r="B1165" t="s">
        <v>99</v>
      </c>
      <c r="C1165" t="s">
        <v>126</v>
      </c>
      <c r="D1165" t="s">
        <v>127</v>
      </c>
      <c r="E1165" t="s">
        <v>12</v>
      </c>
      <c r="F1165">
        <v>42522000000</v>
      </c>
      <c r="G1165" s="1">
        <v>44101</v>
      </c>
      <c r="H1165" t="s">
        <v>13</v>
      </c>
      <c r="I1165" t="s">
        <v>14</v>
      </c>
    </row>
    <row r="1166" spans="1:9" x14ac:dyDescent="0.2">
      <c r="A1166">
        <v>320193</v>
      </c>
      <c r="B1166" t="s">
        <v>100</v>
      </c>
      <c r="C1166" t="s">
        <v>126</v>
      </c>
      <c r="D1166" t="s">
        <v>127</v>
      </c>
      <c r="E1166" t="s">
        <v>12</v>
      </c>
      <c r="F1166">
        <v>42522000000</v>
      </c>
      <c r="G1166" s="1">
        <v>44101</v>
      </c>
      <c r="H1166" t="s">
        <v>13</v>
      </c>
      <c r="I1166" t="s">
        <v>14</v>
      </c>
    </row>
    <row r="1167" spans="1:9" x14ac:dyDescent="0.2">
      <c r="A1167">
        <v>320193</v>
      </c>
      <c r="B1167" t="s">
        <v>97</v>
      </c>
      <c r="C1167" t="s">
        <v>126</v>
      </c>
      <c r="D1167" t="s">
        <v>127</v>
      </c>
      <c r="E1167" t="s">
        <v>12</v>
      </c>
      <c r="F1167">
        <v>48849000000</v>
      </c>
      <c r="G1167" s="1">
        <v>44465</v>
      </c>
      <c r="H1167" t="s">
        <v>13</v>
      </c>
      <c r="I1167" t="s">
        <v>14</v>
      </c>
    </row>
    <row r="1168" spans="1:9" x14ac:dyDescent="0.2">
      <c r="A1168">
        <v>320193</v>
      </c>
      <c r="B1168" t="s">
        <v>99</v>
      </c>
      <c r="C1168" t="s">
        <v>126</v>
      </c>
      <c r="D1168" t="s">
        <v>127</v>
      </c>
      <c r="E1168" t="s">
        <v>12</v>
      </c>
      <c r="F1168">
        <v>48849000000</v>
      </c>
      <c r="G1168" s="1">
        <v>44465</v>
      </c>
      <c r="H1168" t="s">
        <v>13</v>
      </c>
      <c r="I1168" t="s">
        <v>14</v>
      </c>
    </row>
    <row r="1169" spans="1:9" x14ac:dyDescent="0.2">
      <c r="A1169">
        <v>320193</v>
      </c>
      <c r="B1169" t="s">
        <v>97</v>
      </c>
      <c r="C1169" t="s">
        <v>126</v>
      </c>
      <c r="D1169" t="s">
        <v>127</v>
      </c>
      <c r="E1169" t="s">
        <v>12</v>
      </c>
      <c r="F1169">
        <v>54428000000</v>
      </c>
      <c r="G1169" s="1">
        <v>44829</v>
      </c>
      <c r="H1169" t="s">
        <v>13</v>
      </c>
      <c r="I1169" t="s">
        <v>14</v>
      </c>
    </row>
    <row r="1170" spans="1:9" x14ac:dyDescent="0.2">
      <c r="A1170">
        <v>320193</v>
      </c>
      <c r="B1170" t="s">
        <v>101</v>
      </c>
      <c r="C1170" t="s">
        <v>126</v>
      </c>
      <c r="D1170" t="s">
        <v>127</v>
      </c>
      <c r="E1170" t="s">
        <v>12</v>
      </c>
      <c r="F1170">
        <v>54428000000</v>
      </c>
      <c r="G1170" s="1">
        <v>44829</v>
      </c>
      <c r="H1170" t="s">
        <v>13</v>
      </c>
      <c r="I1170" t="s">
        <v>14</v>
      </c>
    </row>
    <row r="1171" spans="1:9" x14ac:dyDescent="0.2">
      <c r="A1171">
        <v>320193</v>
      </c>
      <c r="B1171" t="s">
        <v>101</v>
      </c>
      <c r="C1171" t="s">
        <v>126</v>
      </c>
      <c r="D1171" t="s">
        <v>127</v>
      </c>
      <c r="E1171" t="s">
        <v>12</v>
      </c>
      <c r="F1171">
        <v>54428000000</v>
      </c>
      <c r="G1171" s="1">
        <v>44829</v>
      </c>
      <c r="H1171" t="s">
        <v>13</v>
      </c>
      <c r="I1171" t="s">
        <v>14</v>
      </c>
    </row>
    <row r="1172" spans="1:9" x14ac:dyDescent="0.2">
      <c r="A1172">
        <v>320193</v>
      </c>
      <c r="B1172" t="s">
        <v>98</v>
      </c>
      <c r="C1172" t="s">
        <v>126</v>
      </c>
      <c r="D1172" t="s">
        <v>127</v>
      </c>
      <c r="E1172" t="s">
        <v>12</v>
      </c>
      <c r="F1172">
        <v>64758000000</v>
      </c>
      <c r="G1172" s="1">
        <v>45200</v>
      </c>
      <c r="H1172" t="s">
        <v>13</v>
      </c>
      <c r="I1172" t="s">
        <v>14</v>
      </c>
    </row>
    <row r="1173" spans="1:9" x14ac:dyDescent="0.2">
      <c r="A1173">
        <v>320193</v>
      </c>
      <c r="B1173" t="s">
        <v>98</v>
      </c>
      <c r="C1173" t="s">
        <v>126</v>
      </c>
      <c r="D1173" t="s">
        <v>127</v>
      </c>
      <c r="E1173" t="s">
        <v>12</v>
      </c>
      <c r="F1173">
        <v>64758000000</v>
      </c>
      <c r="G1173" s="1">
        <v>45200</v>
      </c>
      <c r="H1173" t="s">
        <v>13</v>
      </c>
      <c r="I1173" t="s">
        <v>14</v>
      </c>
    </row>
    <row r="1174" spans="1:9" x14ac:dyDescent="0.2">
      <c r="A1174">
        <v>320193</v>
      </c>
      <c r="B1174" t="s">
        <v>101</v>
      </c>
      <c r="C1174" t="s">
        <v>126</v>
      </c>
      <c r="D1174" t="s">
        <v>127</v>
      </c>
      <c r="E1174" t="s">
        <v>12</v>
      </c>
      <c r="F1174">
        <v>64758000000</v>
      </c>
      <c r="G1174" s="1">
        <v>45200</v>
      </c>
      <c r="H1174" t="s">
        <v>13</v>
      </c>
      <c r="I1174" t="s">
        <v>14</v>
      </c>
    </row>
    <row r="1175" spans="1:9" x14ac:dyDescent="0.2">
      <c r="A1175">
        <v>320193</v>
      </c>
      <c r="B1175" t="s">
        <v>101</v>
      </c>
      <c r="C1175" t="s">
        <v>126</v>
      </c>
      <c r="D1175" t="s">
        <v>127</v>
      </c>
      <c r="E1175" t="s">
        <v>12</v>
      </c>
      <c r="F1175">
        <v>64758000000</v>
      </c>
      <c r="G1175" s="1">
        <v>45200</v>
      </c>
      <c r="H1175" t="s">
        <v>13</v>
      </c>
      <c r="I1175" t="s">
        <v>14</v>
      </c>
    </row>
    <row r="1176" spans="1:9" x14ac:dyDescent="0.2">
      <c r="A1176">
        <v>320193</v>
      </c>
      <c r="B1176" t="s">
        <v>88</v>
      </c>
      <c r="C1176" t="s">
        <v>126</v>
      </c>
      <c r="D1176" t="s">
        <v>127</v>
      </c>
      <c r="E1176" t="s">
        <v>12</v>
      </c>
      <c r="F1176">
        <v>74834000000</v>
      </c>
      <c r="G1176" s="1">
        <v>45564</v>
      </c>
      <c r="H1176" t="s">
        <v>13</v>
      </c>
      <c r="I1176" t="s">
        <v>14</v>
      </c>
    </row>
    <row r="1177" spans="1:9" x14ac:dyDescent="0.2">
      <c r="A1177">
        <v>320193</v>
      </c>
      <c r="B1177" t="s">
        <v>88</v>
      </c>
      <c r="C1177" t="s">
        <v>126</v>
      </c>
      <c r="D1177" t="s">
        <v>127</v>
      </c>
      <c r="E1177" t="s">
        <v>12</v>
      </c>
      <c r="F1177">
        <v>74834000000</v>
      </c>
      <c r="G1177" s="1">
        <v>45564</v>
      </c>
      <c r="H1177" t="s">
        <v>13</v>
      </c>
      <c r="I1177" t="s">
        <v>14</v>
      </c>
    </row>
    <row r="1178" spans="1:9" x14ac:dyDescent="0.2">
      <c r="A1178">
        <v>320193</v>
      </c>
      <c r="B1178" t="s">
        <v>98</v>
      </c>
      <c r="C1178" t="s">
        <v>126</v>
      </c>
      <c r="D1178" t="s">
        <v>127</v>
      </c>
      <c r="E1178" t="s">
        <v>12</v>
      </c>
      <c r="F1178">
        <v>74834000000</v>
      </c>
      <c r="G1178" s="1">
        <v>45564</v>
      </c>
      <c r="H1178" t="s">
        <v>13</v>
      </c>
      <c r="I1178" t="s">
        <v>14</v>
      </c>
    </row>
    <row r="1179" spans="1:9" x14ac:dyDescent="0.2">
      <c r="A1179">
        <v>320193</v>
      </c>
      <c r="B1179" t="s">
        <v>98</v>
      </c>
      <c r="C1179" t="s">
        <v>126</v>
      </c>
      <c r="D1179" t="s">
        <v>127</v>
      </c>
      <c r="E1179" t="s">
        <v>12</v>
      </c>
      <c r="F1179">
        <v>74834000000</v>
      </c>
      <c r="G1179" s="1">
        <v>45564</v>
      </c>
      <c r="H1179" t="s">
        <v>13</v>
      </c>
      <c r="I1179" t="s">
        <v>14</v>
      </c>
    </row>
    <row r="1180" spans="1:9" x14ac:dyDescent="0.2">
      <c r="A1180">
        <v>320193</v>
      </c>
      <c r="B1180" t="s">
        <v>88</v>
      </c>
      <c r="C1180" t="s">
        <v>126</v>
      </c>
      <c r="D1180" t="s">
        <v>127</v>
      </c>
      <c r="E1180" t="s">
        <v>12</v>
      </c>
      <c r="F1180">
        <v>83727000000</v>
      </c>
      <c r="G1180" s="1">
        <v>45928</v>
      </c>
      <c r="H1180" t="s">
        <v>13</v>
      </c>
      <c r="I1180" t="s">
        <v>14</v>
      </c>
    </row>
    <row r="1181" spans="1:9" x14ac:dyDescent="0.2">
      <c r="A1181">
        <v>320193</v>
      </c>
      <c r="B1181" t="s">
        <v>88</v>
      </c>
      <c r="C1181" t="s">
        <v>126</v>
      </c>
      <c r="D1181" t="s">
        <v>127</v>
      </c>
      <c r="E1181" t="s">
        <v>12</v>
      </c>
      <c r="F1181">
        <v>83727000000</v>
      </c>
      <c r="G1181" s="1">
        <v>45928</v>
      </c>
      <c r="H1181" t="s">
        <v>13</v>
      </c>
      <c r="I1181" t="s">
        <v>14</v>
      </c>
    </row>
    <row r="1182" spans="1:9" x14ac:dyDescent="0.2">
      <c r="A1182">
        <v>320193</v>
      </c>
      <c r="B1182" t="s">
        <v>9</v>
      </c>
      <c r="C1182" t="s">
        <v>59</v>
      </c>
      <c r="D1182" t="s">
        <v>60</v>
      </c>
      <c r="E1182" t="s">
        <v>12</v>
      </c>
      <c r="F1182">
        <v>48914000000</v>
      </c>
      <c r="G1182" s="1">
        <v>43373</v>
      </c>
      <c r="H1182" t="s">
        <v>13</v>
      </c>
      <c r="I1182" t="s">
        <v>14</v>
      </c>
    </row>
    <row r="1183" spans="1:9" x14ac:dyDescent="0.2">
      <c r="A1183">
        <v>320193</v>
      </c>
      <c r="B1183" t="s">
        <v>9</v>
      </c>
      <c r="C1183" t="s">
        <v>59</v>
      </c>
      <c r="D1183" t="s">
        <v>60</v>
      </c>
      <c r="E1183" t="s">
        <v>12</v>
      </c>
      <c r="F1183">
        <v>48914000000</v>
      </c>
      <c r="G1183" s="1">
        <v>43373</v>
      </c>
      <c r="H1183" t="s">
        <v>13</v>
      </c>
      <c r="I1183" t="s">
        <v>14</v>
      </c>
    </row>
    <row r="1184" spans="1:9" x14ac:dyDescent="0.2">
      <c r="A1184">
        <v>320193</v>
      </c>
      <c r="B1184" t="s">
        <v>9</v>
      </c>
      <c r="C1184" t="s">
        <v>59</v>
      </c>
      <c r="D1184" t="s">
        <v>60</v>
      </c>
      <c r="E1184" t="s">
        <v>12</v>
      </c>
      <c r="F1184">
        <v>50503000000</v>
      </c>
      <c r="G1184" s="1">
        <v>43737</v>
      </c>
      <c r="H1184" t="s">
        <v>13</v>
      </c>
      <c r="I1184" t="s">
        <v>14</v>
      </c>
    </row>
    <row r="1185" spans="1:9" x14ac:dyDescent="0.2">
      <c r="A1185">
        <v>320193</v>
      </c>
      <c r="B1185" t="s">
        <v>9</v>
      </c>
      <c r="C1185" t="s">
        <v>59</v>
      </c>
      <c r="D1185" t="s">
        <v>60</v>
      </c>
      <c r="E1185" t="s">
        <v>12</v>
      </c>
      <c r="F1185">
        <v>50503000000</v>
      </c>
      <c r="G1185" s="1">
        <v>43737</v>
      </c>
      <c r="H1185" t="s">
        <v>13</v>
      </c>
      <c r="I1185" t="s">
        <v>14</v>
      </c>
    </row>
    <row r="1186" spans="1:9" x14ac:dyDescent="0.2">
      <c r="A1186">
        <v>320193</v>
      </c>
      <c r="B1186" t="s">
        <v>100</v>
      </c>
      <c r="C1186" t="s">
        <v>59</v>
      </c>
      <c r="D1186" t="s">
        <v>60</v>
      </c>
      <c r="E1186" t="s">
        <v>12</v>
      </c>
      <c r="F1186">
        <v>50503000000</v>
      </c>
      <c r="G1186" s="1">
        <v>43737</v>
      </c>
      <c r="H1186" t="s">
        <v>13</v>
      </c>
      <c r="I1186" t="s">
        <v>14</v>
      </c>
    </row>
    <row r="1187" spans="1:9" x14ac:dyDescent="0.2">
      <c r="A1187">
        <v>320193</v>
      </c>
      <c r="B1187" t="s">
        <v>100</v>
      </c>
      <c r="C1187" t="s">
        <v>59</v>
      </c>
      <c r="D1187" t="s">
        <v>60</v>
      </c>
      <c r="E1187" t="s">
        <v>12</v>
      </c>
      <c r="F1187">
        <v>50503000000</v>
      </c>
      <c r="G1187" s="1">
        <v>43737</v>
      </c>
      <c r="H1187" t="s">
        <v>13</v>
      </c>
      <c r="I1187" t="s">
        <v>14</v>
      </c>
    </row>
    <row r="1188" spans="1:9" x14ac:dyDescent="0.2">
      <c r="A1188">
        <v>320193</v>
      </c>
      <c r="B1188" t="s">
        <v>99</v>
      </c>
      <c r="C1188" t="s">
        <v>59</v>
      </c>
      <c r="D1188" t="s">
        <v>60</v>
      </c>
      <c r="E1188" t="s">
        <v>12</v>
      </c>
      <c r="F1188">
        <v>54490000000</v>
      </c>
      <c r="G1188" s="1">
        <v>44101</v>
      </c>
      <c r="H1188" t="s">
        <v>13</v>
      </c>
      <c r="I1188" t="s">
        <v>14</v>
      </c>
    </row>
    <row r="1189" spans="1:9" x14ac:dyDescent="0.2">
      <c r="A1189">
        <v>320193</v>
      </c>
      <c r="B1189" t="s">
        <v>99</v>
      </c>
      <c r="C1189" t="s">
        <v>59</v>
      </c>
      <c r="D1189" t="s">
        <v>60</v>
      </c>
      <c r="E1189" t="s">
        <v>12</v>
      </c>
      <c r="F1189">
        <v>54490000000</v>
      </c>
      <c r="G1189" s="1">
        <v>44101</v>
      </c>
      <c r="H1189" t="s">
        <v>13</v>
      </c>
      <c r="I1189" t="s">
        <v>14</v>
      </c>
    </row>
    <row r="1190" spans="1:9" x14ac:dyDescent="0.2">
      <c r="A1190">
        <v>320193</v>
      </c>
      <c r="B1190" t="s">
        <v>100</v>
      </c>
      <c r="C1190" t="s">
        <v>59</v>
      </c>
      <c r="D1190" t="s">
        <v>60</v>
      </c>
      <c r="E1190" t="s">
        <v>12</v>
      </c>
      <c r="F1190">
        <v>54490000000</v>
      </c>
      <c r="G1190" s="1">
        <v>44101</v>
      </c>
      <c r="H1190" t="s">
        <v>13</v>
      </c>
      <c r="I1190" t="s">
        <v>14</v>
      </c>
    </row>
    <row r="1191" spans="1:9" x14ac:dyDescent="0.2">
      <c r="A1191">
        <v>320193</v>
      </c>
      <c r="B1191" t="s">
        <v>100</v>
      </c>
      <c r="C1191" t="s">
        <v>59</v>
      </c>
      <c r="D1191" t="s">
        <v>60</v>
      </c>
      <c r="E1191" t="s">
        <v>12</v>
      </c>
      <c r="F1191">
        <v>54490000000</v>
      </c>
      <c r="G1191" s="1">
        <v>44101</v>
      </c>
      <c r="H1191" t="s">
        <v>13</v>
      </c>
      <c r="I1191" t="s">
        <v>14</v>
      </c>
    </row>
    <row r="1192" spans="1:9" x14ac:dyDescent="0.2">
      <c r="A1192">
        <v>320193</v>
      </c>
      <c r="B1192" t="s">
        <v>97</v>
      </c>
      <c r="C1192" t="s">
        <v>59</v>
      </c>
      <c r="D1192" t="s">
        <v>60</v>
      </c>
      <c r="E1192" t="s">
        <v>12</v>
      </c>
      <c r="F1192">
        <v>53325000000</v>
      </c>
      <c r="G1192" s="1">
        <v>44465</v>
      </c>
      <c r="H1192" t="s">
        <v>13</v>
      </c>
      <c r="I1192" t="s">
        <v>14</v>
      </c>
    </row>
    <row r="1193" spans="1:9" x14ac:dyDescent="0.2">
      <c r="A1193">
        <v>320193</v>
      </c>
      <c r="B1193" t="s">
        <v>97</v>
      </c>
      <c r="C1193" t="s">
        <v>59</v>
      </c>
      <c r="D1193" t="s">
        <v>60</v>
      </c>
      <c r="E1193" t="s">
        <v>12</v>
      </c>
      <c r="F1193">
        <v>53325000000</v>
      </c>
      <c r="G1193" s="1">
        <v>44465</v>
      </c>
      <c r="H1193" t="s">
        <v>13</v>
      </c>
      <c r="I1193" t="s">
        <v>14</v>
      </c>
    </row>
    <row r="1194" spans="1:9" x14ac:dyDescent="0.2">
      <c r="A1194">
        <v>320193</v>
      </c>
      <c r="B1194" t="s">
        <v>99</v>
      </c>
      <c r="C1194" t="s">
        <v>59</v>
      </c>
      <c r="D1194" t="s">
        <v>60</v>
      </c>
      <c r="E1194" t="s">
        <v>12</v>
      </c>
      <c r="F1194">
        <v>53325000000</v>
      </c>
      <c r="G1194" s="1">
        <v>44465</v>
      </c>
      <c r="H1194" t="s">
        <v>13</v>
      </c>
      <c r="I1194" t="s">
        <v>14</v>
      </c>
    </row>
    <row r="1195" spans="1:9" x14ac:dyDescent="0.2">
      <c r="A1195">
        <v>320193</v>
      </c>
      <c r="B1195" t="s">
        <v>99</v>
      </c>
      <c r="C1195" t="s">
        <v>59</v>
      </c>
      <c r="D1195" t="s">
        <v>60</v>
      </c>
      <c r="E1195" t="s">
        <v>12</v>
      </c>
      <c r="F1195">
        <v>53325000000</v>
      </c>
      <c r="G1195" s="1">
        <v>44465</v>
      </c>
      <c r="H1195" t="s">
        <v>13</v>
      </c>
      <c r="I1195" t="s">
        <v>14</v>
      </c>
    </row>
    <row r="1196" spans="1:9" x14ac:dyDescent="0.2">
      <c r="A1196">
        <v>320193</v>
      </c>
      <c r="B1196" t="s">
        <v>97</v>
      </c>
      <c r="C1196" t="s">
        <v>59</v>
      </c>
      <c r="D1196" t="s">
        <v>60</v>
      </c>
      <c r="E1196" t="s">
        <v>12</v>
      </c>
      <c r="F1196">
        <v>49142000000</v>
      </c>
      <c r="G1196" s="1">
        <v>44829</v>
      </c>
      <c r="H1196" t="s">
        <v>13</v>
      </c>
      <c r="I1196" t="s">
        <v>14</v>
      </c>
    </row>
    <row r="1197" spans="1:9" x14ac:dyDescent="0.2">
      <c r="A1197">
        <v>320193</v>
      </c>
      <c r="B1197" t="s">
        <v>97</v>
      </c>
      <c r="C1197" t="s">
        <v>59</v>
      </c>
      <c r="D1197" t="s">
        <v>60</v>
      </c>
      <c r="E1197" t="s">
        <v>12</v>
      </c>
      <c r="F1197">
        <v>49142000000</v>
      </c>
      <c r="G1197" s="1">
        <v>44829</v>
      </c>
      <c r="H1197" t="s">
        <v>13</v>
      </c>
      <c r="I1197" t="s">
        <v>14</v>
      </c>
    </row>
    <row r="1198" spans="1:9" x14ac:dyDescent="0.2">
      <c r="A1198">
        <v>320193</v>
      </c>
      <c r="B1198" t="s">
        <v>101</v>
      </c>
      <c r="C1198" t="s">
        <v>59</v>
      </c>
      <c r="D1198" t="s">
        <v>60</v>
      </c>
      <c r="E1198" t="s">
        <v>12</v>
      </c>
      <c r="F1198">
        <v>49142000000</v>
      </c>
      <c r="G1198" s="1">
        <v>44829</v>
      </c>
      <c r="H1198" t="s">
        <v>13</v>
      </c>
      <c r="I1198" t="s">
        <v>14</v>
      </c>
    </row>
    <row r="1199" spans="1:9" x14ac:dyDescent="0.2">
      <c r="A1199">
        <v>320193</v>
      </c>
      <c r="B1199" t="s">
        <v>101</v>
      </c>
      <c r="C1199" t="s">
        <v>59</v>
      </c>
      <c r="D1199" t="s">
        <v>60</v>
      </c>
      <c r="E1199" t="s">
        <v>12</v>
      </c>
      <c r="F1199">
        <v>49142000000</v>
      </c>
      <c r="G1199" s="1">
        <v>44829</v>
      </c>
      <c r="H1199" t="s">
        <v>13</v>
      </c>
      <c r="I1199" t="s">
        <v>14</v>
      </c>
    </row>
    <row r="1200" spans="1:9" x14ac:dyDescent="0.2">
      <c r="A1200">
        <v>320193</v>
      </c>
      <c r="B1200" t="s">
        <v>98</v>
      </c>
      <c r="C1200" t="s">
        <v>59</v>
      </c>
      <c r="D1200" t="s">
        <v>60</v>
      </c>
      <c r="E1200" t="s">
        <v>12</v>
      </c>
      <c r="F1200">
        <v>49848000000</v>
      </c>
      <c r="G1200" s="1">
        <v>45200</v>
      </c>
      <c r="H1200" t="s">
        <v>13</v>
      </c>
      <c r="I1200" t="s">
        <v>14</v>
      </c>
    </row>
    <row r="1201" spans="1:9" x14ac:dyDescent="0.2">
      <c r="A1201">
        <v>320193</v>
      </c>
      <c r="B1201" t="s">
        <v>98</v>
      </c>
      <c r="C1201" t="s">
        <v>59</v>
      </c>
      <c r="D1201" t="s">
        <v>60</v>
      </c>
      <c r="E1201" t="s">
        <v>12</v>
      </c>
      <c r="F1201">
        <v>49848000000</v>
      </c>
      <c r="G1201" s="1">
        <v>45200</v>
      </c>
      <c r="H1201" t="s">
        <v>13</v>
      </c>
      <c r="I1201" t="s">
        <v>14</v>
      </c>
    </row>
    <row r="1202" spans="1:9" x14ac:dyDescent="0.2">
      <c r="A1202">
        <v>320193</v>
      </c>
      <c r="B1202" t="s">
        <v>101</v>
      </c>
      <c r="C1202" t="s">
        <v>59</v>
      </c>
      <c r="D1202" t="s">
        <v>60</v>
      </c>
      <c r="E1202" t="s">
        <v>12</v>
      </c>
      <c r="F1202">
        <v>49848000000</v>
      </c>
      <c r="G1202" s="1">
        <v>45200</v>
      </c>
      <c r="H1202" t="s">
        <v>13</v>
      </c>
      <c r="I1202" t="s">
        <v>14</v>
      </c>
    </row>
    <row r="1203" spans="1:9" x14ac:dyDescent="0.2">
      <c r="A1203">
        <v>320193</v>
      </c>
      <c r="B1203" t="s">
        <v>101</v>
      </c>
      <c r="C1203" t="s">
        <v>59</v>
      </c>
      <c r="D1203" t="s">
        <v>60</v>
      </c>
      <c r="E1203" t="s">
        <v>12</v>
      </c>
      <c r="F1203">
        <v>49848000000</v>
      </c>
      <c r="G1203" s="1">
        <v>45200</v>
      </c>
      <c r="H1203" t="s">
        <v>13</v>
      </c>
      <c r="I1203" t="s">
        <v>14</v>
      </c>
    </row>
    <row r="1204" spans="1:9" x14ac:dyDescent="0.2">
      <c r="A1204">
        <v>320193</v>
      </c>
      <c r="B1204" t="s">
        <v>88</v>
      </c>
      <c r="C1204" t="s">
        <v>59</v>
      </c>
      <c r="D1204" t="s">
        <v>60</v>
      </c>
      <c r="E1204" t="s">
        <v>12</v>
      </c>
      <c r="F1204">
        <v>45888000000</v>
      </c>
      <c r="G1204" s="1">
        <v>45564</v>
      </c>
      <c r="H1204" t="s">
        <v>13</v>
      </c>
      <c r="I1204" t="s">
        <v>14</v>
      </c>
    </row>
    <row r="1205" spans="1:9" x14ac:dyDescent="0.2">
      <c r="A1205">
        <v>320193</v>
      </c>
      <c r="B1205" t="s">
        <v>98</v>
      </c>
      <c r="C1205" t="s">
        <v>59</v>
      </c>
      <c r="D1205" t="s">
        <v>60</v>
      </c>
      <c r="E1205" t="s">
        <v>12</v>
      </c>
      <c r="F1205">
        <v>45888000000</v>
      </c>
      <c r="G1205" s="1">
        <v>45564</v>
      </c>
      <c r="H1205" t="s">
        <v>13</v>
      </c>
      <c r="I1205" t="s">
        <v>14</v>
      </c>
    </row>
    <row r="1206" spans="1:9" x14ac:dyDescent="0.2">
      <c r="A1206">
        <v>320193</v>
      </c>
      <c r="B1206" t="s">
        <v>98</v>
      </c>
      <c r="C1206" t="s">
        <v>59</v>
      </c>
      <c r="D1206" t="s">
        <v>60</v>
      </c>
      <c r="E1206" t="s">
        <v>12</v>
      </c>
      <c r="F1206">
        <v>45888000000</v>
      </c>
      <c r="G1206" s="1">
        <v>45564</v>
      </c>
      <c r="H1206" t="s">
        <v>13</v>
      </c>
      <c r="I1206" t="s">
        <v>14</v>
      </c>
    </row>
    <row r="1207" spans="1:9" x14ac:dyDescent="0.2">
      <c r="A1207">
        <v>320193</v>
      </c>
      <c r="B1207" t="s">
        <v>88</v>
      </c>
      <c r="C1207" t="s">
        <v>59</v>
      </c>
      <c r="D1207" t="s">
        <v>60</v>
      </c>
      <c r="E1207" t="s">
        <v>12</v>
      </c>
      <c r="F1207">
        <v>41549000000</v>
      </c>
      <c r="G1207" s="1">
        <v>45928</v>
      </c>
      <c r="H1207" t="s">
        <v>13</v>
      </c>
      <c r="I1207" t="s">
        <v>14</v>
      </c>
    </row>
    <row r="1208" spans="1:9" x14ac:dyDescent="0.2">
      <c r="A1208">
        <v>320193</v>
      </c>
      <c r="B1208" t="s">
        <v>9</v>
      </c>
      <c r="C1208" t="s">
        <v>75</v>
      </c>
      <c r="D1208" t="s">
        <v>73</v>
      </c>
      <c r="E1208" t="s">
        <v>12</v>
      </c>
      <c r="F1208">
        <v>12451000000</v>
      </c>
      <c r="G1208" s="1">
        <v>43009</v>
      </c>
      <c r="H1208" t="s">
        <v>13</v>
      </c>
      <c r="I1208" t="s">
        <v>14</v>
      </c>
    </row>
    <row r="1209" spans="1:9" x14ac:dyDescent="0.2">
      <c r="A1209">
        <v>320193</v>
      </c>
      <c r="B1209" t="s">
        <v>9</v>
      </c>
      <c r="C1209" t="s">
        <v>75</v>
      </c>
      <c r="D1209" t="s">
        <v>73</v>
      </c>
      <c r="E1209" t="s">
        <v>12</v>
      </c>
      <c r="F1209">
        <v>13313000000</v>
      </c>
      <c r="G1209" s="1">
        <v>43373</v>
      </c>
      <c r="H1209" t="s">
        <v>13</v>
      </c>
      <c r="I1209" t="s">
        <v>14</v>
      </c>
    </row>
    <row r="1210" spans="1:9" x14ac:dyDescent="0.2">
      <c r="A1210">
        <v>320193</v>
      </c>
      <c r="B1210" t="s">
        <v>100</v>
      </c>
      <c r="C1210" t="s">
        <v>75</v>
      </c>
      <c r="D1210" t="s">
        <v>73</v>
      </c>
      <c r="E1210" t="s">
        <v>12</v>
      </c>
      <c r="F1210">
        <v>13313000000</v>
      </c>
      <c r="G1210" s="1">
        <v>43373</v>
      </c>
      <c r="H1210" t="s">
        <v>13</v>
      </c>
      <c r="I1210" t="s">
        <v>14</v>
      </c>
    </row>
    <row r="1211" spans="1:9" x14ac:dyDescent="0.2">
      <c r="A1211">
        <v>320193</v>
      </c>
      <c r="B1211" t="s">
        <v>9</v>
      </c>
      <c r="C1211" t="s">
        <v>75</v>
      </c>
      <c r="D1211" t="s">
        <v>73</v>
      </c>
      <c r="E1211" t="s">
        <v>12</v>
      </c>
      <c r="F1211">
        <v>10495000000</v>
      </c>
      <c r="G1211" s="1">
        <v>43737</v>
      </c>
      <c r="H1211" t="s">
        <v>13</v>
      </c>
      <c r="I1211" t="s">
        <v>14</v>
      </c>
    </row>
    <row r="1212" spans="1:9" x14ac:dyDescent="0.2">
      <c r="A1212">
        <v>320193</v>
      </c>
      <c r="B1212" t="s">
        <v>99</v>
      </c>
      <c r="C1212" t="s">
        <v>75</v>
      </c>
      <c r="D1212" t="s">
        <v>73</v>
      </c>
      <c r="E1212" t="s">
        <v>12</v>
      </c>
      <c r="F1212">
        <v>10495000000</v>
      </c>
      <c r="G1212" s="1">
        <v>43737</v>
      </c>
      <c r="H1212" t="s">
        <v>13</v>
      </c>
      <c r="I1212" t="s">
        <v>14</v>
      </c>
    </row>
    <row r="1213" spans="1:9" x14ac:dyDescent="0.2">
      <c r="A1213">
        <v>320193</v>
      </c>
      <c r="B1213" t="s">
        <v>100</v>
      </c>
      <c r="C1213" t="s">
        <v>75</v>
      </c>
      <c r="D1213" t="s">
        <v>73</v>
      </c>
      <c r="E1213" t="s">
        <v>12</v>
      </c>
      <c r="F1213">
        <v>10495000000</v>
      </c>
      <c r="G1213" s="1">
        <v>43737</v>
      </c>
      <c r="H1213" t="s">
        <v>13</v>
      </c>
      <c r="I1213" t="s">
        <v>14</v>
      </c>
    </row>
    <row r="1214" spans="1:9" x14ac:dyDescent="0.2">
      <c r="A1214">
        <v>320193</v>
      </c>
      <c r="B1214" t="s">
        <v>97</v>
      </c>
      <c r="C1214" t="s">
        <v>75</v>
      </c>
      <c r="D1214" t="s">
        <v>73</v>
      </c>
      <c r="E1214" t="s">
        <v>12</v>
      </c>
      <c r="F1214">
        <v>7309000000</v>
      </c>
      <c r="G1214" s="1">
        <v>44101</v>
      </c>
      <c r="H1214" t="s">
        <v>13</v>
      </c>
      <c r="I1214" t="s">
        <v>14</v>
      </c>
    </row>
    <row r="1215" spans="1:9" x14ac:dyDescent="0.2">
      <c r="A1215">
        <v>320193</v>
      </c>
      <c r="B1215" t="s">
        <v>99</v>
      </c>
      <c r="C1215" t="s">
        <v>75</v>
      </c>
      <c r="D1215" t="s">
        <v>73</v>
      </c>
      <c r="E1215" t="s">
        <v>12</v>
      </c>
      <c r="F1215">
        <v>7309000000</v>
      </c>
      <c r="G1215" s="1">
        <v>44101</v>
      </c>
      <c r="H1215" t="s">
        <v>13</v>
      </c>
      <c r="I1215" t="s">
        <v>14</v>
      </c>
    </row>
    <row r="1216" spans="1:9" x14ac:dyDescent="0.2">
      <c r="A1216">
        <v>320193</v>
      </c>
      <c r="B1216" t="s">
        <v>100</v>
      </c>
      <c r="C1216" t="s">
        <v>75</v>
      </c>
      <c r="D1216" t="s">
        <v>73</v>
      </c>
      <c r="E1216" t="s">
        <v>12</v>
      </c>
      <c r="F1216">
        <v>7309000000</v>
      </c>
      <c r="G1216" s="1">
        <v>44101</v>
      </c>
      <c r="H1216" t="s">
        <v>13</v>
      </c>
      <c r="I1216" t="s">
        <v>14</v>
      </c>
    </row>
    <row r="1217" spans="1:13" x14ac:dyDescent="0.2">
      <c r="A1217">
        <v>320193</v>
      </c>
      <c r="B1217" t="s">
        <v>97</v>
      </c>
      <c r="C1217" t="s">
        <v>75</v>
      </c>
      <c r="D1217" t="s">
        <v>73</v>
      </c>
      <c r="E1217" t="s">
        <v>12</v>
      </c>
      <c r="F1217">
        <v>11085000000</v>
      </c>
      <c r="G1217" s="1">
        <v>44465</v>
      </c>
      <c r="H1217" t="s">
        <v>13</v>
      </c>
      <c r="I1217" t="s">
        <v>14</v>
      </c>
    </row>
    <row r="1218" spans="1:13" x14ac:dyDescent="0.2">
      <c r="A1218">
        <v>320193</v>
      </c>
      <c r="B1218" t="s">
        <v>99</v>
      </c>
      <c r="C1218" t="s">
        <v>75</v>
      </c>
      <c r="D1218" t="s">
        <v>73</v>
      </c>
      <c r="E1218" t="s">
        <v>12</v>
      </c>
      <c r="F1218">
        <v>11085000000</v>
      </c>
      <c r="G1218" s="1">
        <v>44465</v>
      </c>
      <c r="H1218" t="s">
        <v>13</v>
      </c>
      <c r="I1218" t="s">
        <v>14</v>
      </c>
    </row>
    <row r="1219" spans="1:13" x14ac:dyDescent="0.2">
      <c r="A1219">
        <v>320193</v>
      </c>
      <c r="B1219" t="s">
        <v>101</v>
      </c>
      <c r="C1219" t="s">
        <v>75</v>
      </c>
      <c r="D1219" t="s">
        <v>73</v>
      </c>
      <c r="E1219" t="s">
        <v>12</v>
      </c>
      <c r="F1219">
        <v>11085000000</v>
      </c>
      <c r="G1219" s="1">
        <v>44465</v>
      </c>
      <c r="H1219" t="s">
        <v>13</v>
      </c>
      <c r="I1219" t="s">
        <v>14</v>
      </c>
    </row>
    <row r="1220" spans="1:13" x14ac:dyDescent="0.2">
      <c r="A1220">
        <v>320193</v>
      </c>
      <c r="B1220" t="s">
        <v>97</v>
      </c>
      <c r="C1220" t="s">
        <v>75</v>
      </c>
      <c r="D1220" t="s">
        <v>73</v>
      </c>
      <c r="E1220" t="s">
        <v>12</v>
      </c>
      <c r="F1220">
        <v>10708000000</v>
      </c>
      <c r="G1220" s="1">
        <v>44829</v>
      </c>
      <c r="H1220" t="s">
        <v>13</v>
      </c>
      <c r="I1220" t="s">
        <v>14</v>
      </c>
    </row>
    <row r="1221" spans="1:13" x14ac:dyDescent="0.2">
      <c r="A1221">
        <v>320193</v>
      </c>
      <c r="B1221" t="s">
        <v>98</v>
      </c>
      <c r="C1221" t="s">
        <v>75</v>
      </c>
      <c r="D1221" t="s">
        <v>73</v>
      </c>
      <c r="E1221" t="s">
        <v>12</v>
      </c>
      <c r="F1221">
        <v>10708000000</v>
      </c>
      <c r="G1221" s="1">
        <v>44829</v>
      </c>
      <c r="H1221" t="s">
        <v>13</v>
      </c>
      <c r="I1221" t="s">
        <v>14</v>
      </c>
    </row>
    <row r="1222" spans="1:13" x14ac:dyDescent="0.2">
      <c r="A1222">
        <v>320193</v>
      </c>
      <c r="B1222" t="s">
        <v>101</v>
      </c>
      <c r="C1222" t="s">
        <v>75</v>
      </c>
      <c r="D1222" t="s">
        <v>73</v>
      </c>
      <c r="E1222" t="s">
        <v>12</v>
      </c>
      <c r="F1222">
        <v>10708000000</v>
      </c>
      <c r="G1222" s="1">
        <v>44829</v>
      </c>
      <c r="H1222" t="s">
        <v>13</v>
      </c>
      <c r="I1222" t="s">
        <v>14</v>
      </c>
    </row>
    <row r="1223" spans="1:13" x14ac:dyDescent="0.2">
      <c r="A1223">
        <v>320193</v>
      </c>
      <c r="B1223" t="s">
        <v>88</v>
      </c>
      <c r="C1223" t="s">
        <v>75</v>
      </c>
      <c r="D1223" t="s">
        <v>73</v>
      </c>
      <c r="E1223" t="s">
        <v>12</v>
      </c>
      <c r="F1223">
        <v>10959000000</v>
      </c>
      <c r="G1223" s="1">
        <v>45200</v>
      </c>
      <c r="H1223" t="s">
        <v>13</v>
      </c>
      <c r="I1223" t="s">
        <v>14</v>
      </c>
    </row>
    <row r="1224" spans="1:13" x14ac:dyDescent="0.2">
      <c r="A1224">
        <v>320193</v>
      </c>
      <c r="B1224" t="s">
        <v>98</v>
      </c>
      <c r="C1224" t="s">
        <v>75</v>
      </c>
      <c r="D1224" t="s">
        <v>73</v>
      </c>
      <c r="E1224" t="s">
        <v>12</v>
      </c>
      <c r="F1224">
        <v>10959000000</v>
      </c>
      <c r="G1224" s="1">
        <v>45200</v>
      </c>
      <c r="H1224" t="s">
        <v>13</v>
      </c>
      <c r="I1224" t="s">
        <v>14</v>
      </c>
    </row>
    <row r="1225" spans="1:13" x14ac:dyDescent="0.2">
      <c r="A1225">
        <v>320193</v>
      </c>
      <c r="B1225" t="s">
        <v>101</v>
      </c>
      <c r="C1225" t="s">
        <v>75</v>
      </c>
      <c r="D1225" t="s">
        <v>73</v>
      </c>
      <c r="E1225" t="s">
        <v>12</v>
      </c>
      <c r="F1225">
        <v>10959000000</v>
      </c>
      <c r="G1225" s="1">
        <v>45200</v>
      </c>
      <c r="H1225" t="s">
        <v>13</v>
      </c>
      <c r="I1225" t="s">
        <v>14</v>
      </c>
    </row>
    <row r="1226" spans="1:13" x14ac:dyDescent="0.2">
      <c r="A1226">
        <v>320193</v>
      </c>
      <c r="B1226" t="s">
        <v>88</v>
      </c>
      <c r="C1226" t="s">
        <v>75</v>
      </c>
      <c r="D1226" t="s">
        <v>73</v>
      </c>
      <c r="E1226" t="s">
        <v>12</v>
      </c>
      <c r="F1226">
        <v>9447000000</v>
      </c>
      <c r="G1226" s="1">
        <v>45564</v>
      </c>
      <c r="H1226" t="s">
        <v>13</v>
      </c>
      <c r="I1226" t="s">
        <v>14</v>
      </c>
    </row>
    <row r="1227" spans="1:13" x14ac:dyDescent="0.2">
      <c r="A1227">
        <v>320193</v>
      </c>
      <c r="B1227" t="s">
        <v>98</v>
      </c>
      <c r="C1227" t="s">
        <v>75</v>
      </c>
      <c r="D1227" t="s">
        <v>73</v>
      </c>
      <c r="E1227" t="s">
        <v>12</v>
      </c>
      <c r="F1227">
        <v>9447000000</v>
      </c>
      <c r="G1227" s="1">
        <v>45564</v>
      </c>
      <c r="H1227" t="s">
        <v>13</v>
      </c>
      <c r="I1227" t="s">
        <v>14</v>
      </c>
    </row>
    <row r="1228" spans="1:13" x14ac:dyDescent="0.2">
      <c r="A1228">
        <v>320193</v>
      </c>
      <c r="B1228" t="s">
        <v>88</v>
      </c>
      <c r="C1228" t="s">
        <v>75</v>
      </c>
      <c r="D1228" t="s">
        <v>73</v>
      </c>
      <c r="E1228" t="s">
        <v>12</v>
      </c>
      <c r="F1228">
        <v>12715000000</v>
      </c>
      <c r="G1228" s="1">
        <v>45928</v>
      </c>
      <c r="H1228" t="s">
        <v>13</v>
      </c>
      <c r="I1228" t="s">
        <v>14</v>
      </c>
    </row>
    <row r="1229" spans="1:13" x14ac:dyDescent="0.2">
      <c r="A1229">
        <v>320193</v>
      </c>
      <c r="B1229" t="s">
        <v>9</v>
      </c>
      <c r="C1229" t="s">
        <v>80</v>
      </c>
      <c r="D1229" t="s">
        <v>81</v>
      </c>
      <c r="E1229" t="s">
        <v>12</v>
      </c>
      <c r="F1229">
        <v>32900000000</v>
      </c>
      <c r="G1229" s="1">
        <v>43009</v>
      </c>
      <c r="H1229" t="s">
        <v>13</v>
      </c>
      <c r="I1229" t="s">
        <v>14</v>
      </c>
    </row>
    <row r="1230" spans="1:13" x14ac:dyDescent="0.2">
      <c r="A1230">
        <v>320193</v>
      </c>
      <c r="B1230" t="s">
        <v>9</v>
      </c>
      <c r="C1230" t="s">
        <v>80</v>
      </c>
      <c r="D1230" t="s">
        <v>81</v>
      </c>
      <c r="E1230" t="s">
        <v>12</v>
      </c>
      <c r="F1230">
        <v>72738000000</v>
      </c>
      <c r="G1230" s="1">
        <v>43373</v>
      </c>
      <c r="H1230" t="s">
        <v>13</v>
      </c>
      <c r="I1230" t="s">
        <v>14</v>
      </c>
      <c r="L1230" s="1"/>
    </row>
    <row r="1231" spans="1:13" x14ac:dyDescent="0.2">
      <c r="A1231">
        <v>320193</v>
      </c>
      <c r="B1231" t="s">
        <v>100</v>
      </c>
      <c r="C1231" t="s">
        <v>80</v>
      </c>
      <c r="D1231" t="s">
        <v>81</v>
      </c>
      <c r="E1231" t="s">
        <v>12</v>
      </c>
      <c r="F1231">
        <v>72738000000</v>
      </c>
      <c r="G1231" s="1">
        <v>43373</v>
      </c>
      <c r="H1231" t="s">
        <v>13</v>
      </c>
      <c r="I1231" t="s">
        <v>14</v>
      </c>
      <c r="L1231" s="1">
        <v>43373</v>
      </c>
      <c r="M1231">
        <v>72738000000</v>
      </c>
    </row>
    <row r="1232" spans="1:13" x14ac:dyDescent="0.2">
      <c r="A1232">
        <v>320193</v>
      </c>
      <c r="B1232" t="s">
        <v>9</v>
      </c>
      <c r="C1232" t="s">
        <v>80</v>
      </c>
      <c r="D1232" t="s">
        <v>81</v>
      </c>
      <c r="E1232" t="s">
        <v>12</v>
      </c>
      <c r="F1232">
        <v>66897000000</v>
      </c>
      <c r="G1232" s="1">
        <v>43737</v>
      </c>
      <c r="H1232" t="s">
        <v>13</v>
      </c>
      <c r="I1232" t="s">
        <v>14</v>
      </c>
      <c r="L1232" s="1">
        <v>43373</v>
      </c>
      <c r="M1232">
        <v>72738000000</v>
      </c>
    </row>
    <row r="1233" spans="1:13" x14ac:dyDescent="0.2">
      <c r="A1233">
        <v>320193</v>
      </c>
      <c r="B1233" t="s">
        <v>99</v>
      </c>
      <c r="C1233" t="s">
        <v>80</v>
      </c>
      <c r="D1233" t="s">
        <v>81</v>
      </c>
      <c r="E1233" t="s">
        <v>12</v>
      </c>
      <c r="F1233">
        <v>66897000000</v>
      </c>
      <c r="G1233" s="1">
        <v>43737</v>
      </c>
      <c r="H1233" t="s">
        <v>13</v>
      </c>
      <c r="I1233" t="s">
        <v>14</v>
      </c>
      <c r="L1233" s="1">
        <v>43737</v>
      </c>
      <c r="M1233">
        <v>66897000000</v>
      </c>
    </row>
    <row r="1234" spans="1:13" x14ac:dyDescent="0.2">
      <c r="A1234">
        <v>320193</v>
      </c>
      <c r="B1234" t="s">
        <v>100</v>
      </c>
      <c r="C1234" t="s">
        <v>80</v>
      </c>
      <c r="D1234" t="s">
        <v>81</v>
      </c>
      <c r="E1234" t="s">
        <v>12</v>
      </c>
      <c r="F1234">
        <v>66897000000</v>
      </c>
      <c r="G1234" s="1">
        <v>43737</v>
      </c>
      <c r="H1234" t="s">
        <v>13</v>
      </c>
      <c r="I1234" t="s">
        <v>14</v>
      </c>
      <c r="L1234" s="1">
        <v>43737</v>
      </c>
      <c r="M1234">
        <v>66897000000</v>
      </c>
    </row>
    <row r="1235" spans="1:13" x14ac:dyDescent="0.2">
      <c r="A1235">
        <v>320193</v>
      </c>
      <c r="B1235" t="s">
        <v>97</v>
      </c>
      <c r="C1235" t="s">
        <v>80</v>
      </c>
      <c r="D1235" t="s">
        <v>81</v>
      </c>
      <c r="E1235" t="s">
        <v>12</v>
      </c>
      <c r="F1235">
        <v>72358000000</v>
      </c>
      <c r="G1235" s="1">
        <v>44101</v>
      </c>
      <c r="H1235" t="s">
        <v>13</v>
      </c>
      <c r="I1235" t="s">
        <v>14</v>
      </c>
      <c r="L1235" s="1">
        <v>43737</v>
      </c>
      <c r="M1235">
        <v>66897000000</v>
      </c>
    </row>
    <row r="1236" spans="1:13" x14ac:dyDescent="0.2">
      <c r="A1236">
        <v>320193</v>
      </c>
      <c r="B1236" t="s">
        <v>99</v>
      </c>
      <c r="C1236" t="s">
        <v>80</v>
      </c>
      <c r="D1236" t="s">
        <v>81</v>
      </c>
      <c r="E1236" t="s">
        <v>12</v>
      </c>
      <c r="F1236">
        <v>72358000000</v>
      </c>
      <c r="G1236" s="1">
        <v>44101</v>
      </c>
      <c r="H1236" t="s">
        <v>13</v>
      </c>
      <c r="I1236" t="s">
        <v>14</v>
      </c>
      <c r="L1236" s="1">
        <v>44101</v>
      </c>
      <c r="M1236">
        <v>72358000000</v>
      </c>
    </row>
    <row r="1237" spans="1:13" x14ac:dyDescent="0.2">
      <c r="A1237">
        <v>320193</v>
      </c>
      <c r="B1237" t="s">
        <v>100</v>
      </c>
      <c r="C1237" t="s">
        <v>80</v>
      </c>
      <c r="D1237" t="s">
        <v>81</v>
      </c>
      <c r="E1237" t="s">
        <v>12</v>
      </c>
      <c r="F1237">
        <v>72358000000</v>
      </c>
      <c r="G1237" s="1">
        <v>44101</v>
      </c>
      <c r="H1237" t="s">
        <v>13</v>
      </c>
      <c r="I1237" t="s">
        <v>14</v>
      </c>
      <c r="L1237" s="1">
        <v>44101</v>
      </c>
      <c r="M1237">
        <v>72358000000</v>
      </c>
    </row>
    <row r="1238" spans="1:13" x14ac:dyDescent="0.2">
      <c r="A1238">
        <v>320193</v>
      </c>
      <c r="B1238" t="s">
        <v>97</v>
      </c>
      <c r="C1238" t="s">
        <v>80</v>
      </c>
      <c r="D1238" t="s">
        <v>81</v>
      </c>
      <c r="E1238" t="s">
        <v>12</v>
      </c>
      <c r="F1238">
        <v>85971000000</v>
      </c>
      <c r="G1238" s="1">
        <v>44465</v>
      </c>
      <c r="H1238" t="s">
        <v>13</v>
      </c>
      <c r="I1238" t="s">
        <v>14</v>
      </c>
      <c r="L1238" s="1">
        <v>44101</v>
      </c>
      <c r="M1238">
        <v>72358000000</v>
      </c>
    </row>
    <row r="1239" spans="1:13" x14ac:dyDescent="0.2">
      <c r="A1239">
        <v>320193</v>
      </c>
      <c r="B1239" t="s">
        <v>99</v>
      </c>
      <c r="C1239" t="s">
        <v>80</v>
      </c>
      <c r="D1239" t="s">
        <v>81</v>
      </c>
      <c r="E1239" t="s">
        <v>12</v>
      </c>
      <c r="F1239">
        <v>85971000000</v>
      </c>
      <c r="G1239" s="1">
        <v>44465</v>
      </c>
      <c r="H1239" t="s">
        <v>13</v>
      </c>
      <c r="I1239" t="s">
        <v>14</v>
      </c>
      <c r="L1239" s="1">
        <v>44465</v>
      </c>
      <c r="M1239">
        <v>85971000000</v>
      </c>
    </row>
    <row r="1240" spans="1:13" x14ac:dyDescent="0.2">
      <c r="A1240">
        <v>320193</v>
      </c>
      <c r="B1240" t="s">
        <v>101</v>
      </c>
      <c r="C1240" t="s">
        <v>80</v>
      </c>
      <c r="D1240" t="s">
        <v>81</v>
      </c>
      <c r="E1240" t="s">
        <v>12</v>
      </c>
      <c r="F1240">
        <v>85971000000</v>
      </c>
      <c r="G1240" s="1">
        <v>44465</v>
      </c>
      <c r="H1240" t="s">
        <v>13</v>
      </c>
      <c r="I1240" t="s">
        <v>14</v>
      </c>
      <c r="L1240" s="1">
        <v>44465</v>
      </c>
      <c r="M1240">
        <v>85971000000</v>
      </c>
    </row>
    <row r="1241" spans="1:13" x14ac:dyDescent="0.2">
      <c r="A1241">
        <v>320193</v>
      </c>
      <c r="B1241" t="s">
        <v>97</v>
      </c>
      <c r="C1241" t="s">
        <v>80</v>
      </c>
      <c r="D1241" t="s">
        <v>81</v>
      </c>
      <c r="E1241" t="s">
        <v>12</v>
      </c>
      <c r="F1241">
        <v>89402000000</v>
      </c>
      <c r="G1241" s="1">
        <v>44829</v>
      </c>
      <c r="H1241" t="s">
        <v>13</v>
      </c>
      <c r="I1241" t="s">
        <v>14</v>
      </c>
      <c r="L1241" s="1">
        <v>44465</v>
      </c>
      <c r="M1241">
        <v>85971000000</v>
      </c>
    </row>
    <row r="1242" spans="1:13" x14ac:dyDescent="0.2">
      <c r="A1242">
        <v>320193</v>
      </c>
      <c r="B1242" t="s">
        <v>98</v>
      </c>
      <c r="C1242" t="s">
        <v>80</v>
      </c>
      <c r="D1242" t="s">
        <v>81</v>
      </c>
      <c r="E1242" t="s">
        <v>12</v>
      </c>
      <c r="F1242">
        <v>89402000000</v>
      </c>
      <c r="G1242" s="1">
        <v>44829</v>
      </c>
      <c r="H1242" t="s">
        <v>13</v>
      </c>
      <c r="I1242" t="s">
        <v>14</v>
      </c>
      <c r="L1242" s="1">
        <v>44829</v>
      </c>
      <c r="M1242">
        <v>89402000000</v>
      </c>
    </row>
    <row r="1243" spans="1:13" x14ac:dyDescent="0.2">
      <c r="A1243">
        <v>320193</v>
      </c>
      <c r="B1243" t="s">
        <v>101</v>
      </c>
      <c r="C1243" t="s">
        <v>80</v>
      </c>
      <c r="D1243" t="s">
        <v>81</v>
      </c>
      <c r="E1243" t="s">
        <v>12</v>
      </c>
      <c r="F1243">
        <v>89402000000</v>
      </c>
      <c r="G1243" s="1">
        <v>44829</v>
      </c>
      <c r="H1243" t="s">
        <v>13</v>
      </c>
      <c r="I1243" t="s">
        <v>14</v>
      </c>
      <c r="L1243" s="1">
        <v>44829</v>
      </c>
      <c r="M1243">
        <v>89402000000</v>
      </c>
    </row>
    <row r="1244" spans="1:13" x14ac:dyDescent="0.2">
      <c r="A1244">
        <v>320193</v>
      </c>
      <c r="B1244" t="s">
        <v>88</v>
      </c>
      <c r="C1244" t="s">
        <v>80</v>
      </c>
      <c r="D1244" t="s">
        <v>81</v>
      </c>
      <c r="E1244" t="s">
        <v>12</v>
      </c>
      <c r="F1244">
        <v>77550000000</v>
      </c>
      <c r="G1244" s="1">
        <v>45200</v>
      </c>
      <c r="H1244" t="s">
        <v>13</v>
      </c>
      <c r="I1244" t="s">
        <v>14</v>
      </c>
      <c r="L1244" s="1">
        <v>44829</v>
      </c>
      <c r="M1244">
        <v>89402000000</v>
      </c>
    </row>
    <row r="1245" spans="1:13" x14ac:dyDescent="0.2">
      <c r="A1245">
        <v>320193</v>
      </c>
      <c r="B1245" t="s">
        <v>98</v>
      </c>
      <c r="C1245" t="s">
        <v>80</v>
      </c>
      <c r="D1245" t="s">
        <v>81</v>
      </c>
      <c r="E1245" t="s">
        <v>12</v>
      </c>
      <c r="F1245">
        <v>77550000000</v>
      </c>
      <c r="G1245" s="1">
        <v>45200</v>
      </c>
      <c r="H1245" t="s">
        <v>13</v>
      </c>
      <c r="I1245" t="s">
        <v>14</v>
      </c>
      <c r="L1245" s="1">
        <v>45200</v>
      </c>
      <c r="M1245">
        <v>77550000000</v>
      </c>
    </row>
    <row r="1246" spans="1:13" x14ac:dyDescent="0.2">
      <c r="A1246">
        <v>320193</v>
      </c>
      <c r="B1246" t="s">
        <v>101</v>
      </c>
      <c r="C1246" t="s">
        <v>80</v>
      </c>
      <c r="D1246" t="s">
        <v>81</v>
      </c>
      <c r="E1246" t="s">
        <v>12</v>
      </c>
      <c r="F1246">
        <v>77550000000</v>
      </c>
      <c r="G1246" s="1">
        <v>45200</v>
      </c>
      <c r="H1246" t="s">
        <v>13</v>
      </c>
      <c r="I1246" t="s">
        <v>14</v>
      </c>
      <c r="L1246" s="1">
        <v>45200</v>
      </c>
      <c r="M1246">
        <v>77550000000</v>
      </c>
    </row>
    <row r="1247" spans="1:13" x14ac:dyDescent="0.2">
      <c r="A1247">
        <v>320193</v>
      </c>
      <c r="B1247" t="s">
        <v>88</v>
      </c>
      <c r="C1247" t="s">
        <v>80</v>
      </c>
      <c r="D1247" t="s">
        <v>81</v>
      </c>
      <c r="E1247" t="s">
        <v>12</v>
      </c>
      <c r="F1247">
        <v>94949000000</v>
      </c>
      <c r="G1247" s="1">
        <v>45564</v>
      </c>
      <c r="H1247" t="s">
        <v>13</v>
      </c>
      <c r="I1247" t="s">
        <v>14</v>
      </c>
      <c r="L1247" s="1">
        <v>45200</v>
      </c>
      <c r="M1247">
        <v>77550000000</v>
      </c>
    </row>
    <row r="1248" spans="1:13" x14ac:dyDescent="0.2">
      <c r="A1248">
        <v>320193</v>
      </c>
      <c r="B1248" t="s">
        <v>98</v>
      </c>
      <c r="C1248" t="s">
        <v>80</v>
      </c>
      <c r="D1248" t="s">
        <v>81</v>
      </c>
      <c r="E1248" t="s">
        <v>12</v>
      </c>
      <c r="F1248">
        <v>94949000000</v>
      </c>
      <c r="G1248" s="1">
        <v>45564</v>
      </c>
      <c r="H1248" t="s">
        <v>13</v>
      </c>
      <c r="I1248" t="s">
        <v>14</v>
      </c>
      <c r="L1248" s="1">
        <v>45564</v>
      </c>
      <c r="M1248">
        <v>94949000000</v>
      </c>
    </row>
    <row r="1249" spans="1:13" x14ac:dyDescent="0.2">
      <c r="A1249">
        <v>320193</v>
      </c>
      <c r="B1249" t="s">
        <v>88</v>
      </c>
      <c r="C1249" t="s">
        <v>80</v>
      </c>
      <c r="D1249" t="s">
        <v>81</v>
      </c>
      <c r="E1249" t="s">
        <v>12</v>
      </c>
      <c r="F1249">
        <v>90711000000</v>
      </c>
      <c r="G1249" s="1">
        <v>45928</v>
      </c>
      <c r="H1249" t="s">
        <v>13</v>
      </c>
      <c r="I1249" t="s">
        <v>14</v>
      </c>
      <c r="L1249" s="1">
        <v>45564</v>
      </c>
      <c r="M1249">
        <v>94949000000</v>
      </c>
    </row>
    <row r="1250" spans="1:13" x14ac:dyDescent="0.2">
      <c r="A1250">
        <v>320193</v>
      </c>
      <c r="B1250" t="s">
        <v>9</v>
      </c>
      <c r="C1250" t="s">
        <v>19</v>
      </c>
      <c r="D1250" t="s">
        <v>20</v>
      </c>
      <c r="E1250" t="s">
        <v>12</v>
      </c>
      <c r="F1250">
        <v>15261000000</v>
      </c>
      <c r="G1250" s="1">
        <v>43009</v>
      </c>
      <c r="H1250" t="s">
        <v>13</v>
      </c>
      <c r="I1250" t="s">
        <v>14</v>
      </c>
      <c r="L1250" s="1">
        <v>45928</v>
      </c>
      <c r="M1250">
        <v>90711000000</v>
      </c>
    </row>
    <row r="1251" spans="1:13" x14ac:dyDescent="0.2">
      <c r="A1251">
        <v>320193</v>
      </c>
      <c r="B1251" t="s">
        <v>9</v>
      </c>
      <c r="C1251" t="s">
        <v>19</v>
      </c>
      <c r="D1251" t="s">
        <v>20</v>
      </c>
      <c r="E1251" t="s">
        <v>12</v>
      </c>
      <c r="F1251">
        <v>16705000000</v>
      </c>
      <c r="G1251" s="1">
        <v>43373</v>
      </c>
      <c r="H1251" t="s">
        <v>13</v>
      </c>
      <c r="I1251" t="s">
        <v>14</v>
      </c>
    </row>
    <row r="1252" spans="1:13" x14ac:dyDescent="0.2">
      <c r="A1252">
        <v>320193</v>
      </c>
      <c r="B1252" t="s">
        <v>100</v>
      </c>
      <c r="C1252" t="s">
        <v>19</v>
      </c>
      <c r="D1252" t="s">
        <v>20</v>
      </c>
      <c r="E1252" t="s">
        <v>12</v>
      </c>
      <c r="F1252">
        <v>16705000000</v>
      </c>
      <c r="G1252" s="1">
        <v>43373</v>
      </c>
      <c r="H1252" t="s">
        <v>13</v>
      </c>
      <c r="I1252" t="s">
        <v>14</v>
      </c>
    </row>
    <row r="1253" spans="1:13" x14ac:dyDescent="0.2">
      <c r="A1253">
        <v>320193</v>
      </c>
      <c r="B1253" t="s">
        <v>9</v>
      </c>
      <c r="C1253" t="s">
        <v>19</v>
      </c>
      <c r="D1253" t="s">
        <v>20</v>
      </c>
      <c r="E1253" t="s">
        <v>12</v>
      </c>
      <c r="F1253">
        <v>18245000000</v>
      </c>
      <c r="G1253" s="1">
        <v>43737</v>
      </c>
      <c r="H1253" t="s">
        <v>13</v>
      </c>
      <c r="I1253" t="s">
        <v>14</v>
      </c>
    </row>
    <row r="1254" spans="1:13" x14ac:dyDescent="0.2">
      <c r="A1254">
        <v>320193</v>
      </c>
      <c r="B1254" t="s">
        <v>99</v>
      </c>
      <c r="C1254" t="s">
        <v>19</v>
      </c>
      <c r="D1254" t="s">
        <v>20</v>
      </c>
      <c r="E1254" t="s">
        <v>12</v>
      </c>
      <c r="F1254">
        <v>18245000000</v>
      </c>
      <c r="G1254" s="1">
        <v>43737</v>
      </c>
      <c r="H1254" t="s">
        <v>13</v>
      </c>
      <c r="I1254" t="s">
        <v>14</v>
      </c>
    </row>
    <row r="1255" spans="1:13" x14ac:dyDescent="0.2">
      <c r="A1255">
        <v>320193</v>
      </c>
      <c r="B1255" t="s">
        <v>100</v>
      </c>
      <c r="C1255" t="s">
        <v>19</v>
      </c>
      <c r="D1255" t="s">
        <v>20</v>
      </c>
      <c r="E1255" t="s">
        <v>12</v>
      </c>
      <c r="F1255">
        <v>18245000000</v>
      </c>
      <c r="G1255" s="1">
        <v>43737</v>
      </c>
      <c r="H1255" t="s">
        <v>13</v>
      </c>
      <c r="I1255" t="s">
        <v>14</v>
      </c>
    </row>
    <row r="1256" spans="1:13" x14ac:dyDescent="0.2">
      <c r="A1256">
        <v>320193</v>
      </c>
      <c r="B1256" t="s">
        <v>97</v>
      </c>
      <c r="C1256" t="s">
        <v>19</v>
      </c>
      <c r="D1256" t="s">
        <v>20</v>
      </c>
      <c r="E1256" t="s">
        <v>12</v>
      </c>
      <c r="F1256">
        <v>19916000000</v>
      </c>
      <c r="G1256" s="1">
        <v>44101</v>
      </c>
      <c r="H1256" t="s">
        <v>13</v>
      </c>
      <c r="I1256" t="s">
        <v>14</v>
      </c>
    </row>
    <row r="1257" spans="1:13" x14ac:dyDescent="0.2">
      <c r="A1257">
        <v>320193</v>
      </c>
      <c r="B1257" t="s">
        <v>99</v>
      </c>
      <c r="C1257" t="s">
        <v>19</v>
      </c>
      <c r="D1257" t="s">
        <v>20</v>
      </c>
      <c r="E1257" t="s">
        <v>12</v>
      </c>
      <c r="F1257">
        <v>19916000000</v>
      </c>
      <c r="G1257" s="1">
        <v>44101</v>
      </c>
      <c r="H1257" t="s">
        <v>13</v>
      </c>
      <c r="I1257" t="s">
        <v>14</v>
      </c>
    </row>
    <row r="1258" spans="1:13" x14ac:dyDescent="0.2">
      <c r="A1258">
        <v>320193</v>
      </c>
      <c r="B1258" t="s">
        <v>100</v>
      </c>
      <c r="C1258" t="s">
        <v>19</v>
      </c>
      <c r="D1258" t="s">
        <v>20</v>
      </c>
      <c r="E1258" t="s">
        <v>12</v>
      </c>
      <c r="F1258">
        <v>19916000000</v>
      </c>
      <c r="G1258" s="1">
        <v>44101</v>
      </c>
      <c r="H1258" t="s">
        <v>13</v>
      </c>
      <c r="I1258" t="s">
        <v>14</v>
      </c>
    </row>
    <row r="1259" spans="1:13" x14ac:dyDescent="0.2">
      <c r="A1259">
        <v>320193</v>
      </c>
      <c r="B1259" t="s">
        <v>97</v>
      </c>
      <c r="C1259" t="s">
        <v>19</v>
      </c>
      <c r="D1259" t="s">
        <v>20</v>
      </c>
      <c r="E1259" t="s">
        <v>12</v>
      </c>
      <c r="F1259">
        <v>21973000000</v>
      </c>
      <c r="G1259" s="1">
        <v>44465</v>
      </c>
      <c r="H1259" t="s">
        <v>13</v>
      </c>
      <c r="I1259" t="s">
        <v>14</v>
      </c>
    </row>
    <row r="1260" spans="1:13" x14ac:dyDescent="0.2">
      <c r="A1260">
        <v>320193</v>
      </c>
      <c r="B1260" t="s">
        <v>99</v>
      </c>
      <c r="C1260" t="s">
        <v>19</v>
      </c>
      <c r="D1260" t="s">
        <v>20</v>
      </c>
      <c r="E1260" t="s">
        <v>12</v>
      </c>
      <c r="F1260">
        <v>21973000000</v>
      </c>
      <c r="G1260" s="1">
        <v>44465</v>
      </c>
      <c r="H1260" t="s">
        <v>13</v>
      </c>
      <c r="I1260" t="s">
        <v>14</v>
      </c>
    </row>
    <row r="1261" spans="1:13" x14ac:dyDescent="0.2">
      <c r="A1261">
        <v>320193</v>
      </c>
      <c r="B1261" t="s">
        <v>101</v>
      </c>
      <c r="C1261" t="s">
        <v>19</v>
      </c>
      <c r="D1261" t="s">
        <v>20</v>
      </c>
      <c r="E1261" t="s">
        <v>12</v>
      </c>
      <c r="F1261">
        <v>21973000000</v>
      </c>
      <c r="G1261" s="1">
        <v>44465</v>
      </c>
      <c r="H1261" t="s">
        <v>13</v>
      </c>
      <c r="I1261" t="s">
        <v>14</v>
      </c>
    </row>
    <row r="1262" spans="1:13" x14ac:dyDescent="0.2">
      <c r="A1262">
        <v>320193</v>
      </c>
      <c r="B1262" t="s">
        <v>97</v>
      </c>
      <c r="C1262" t="s">
        <v>19</v>
      </c>
      <c r="D1262" t="s">
        <v>20</v>
      </c>
      <c r="E1262" t="s">
        <v>12</v>
      </c>
      <c r="F1262">
        <v>25094000000</v>
      </c>
      <c r="G1262" s="1">
        <v>44829</v>
      </c>
      <c r="H1262" t="s">
        <v>13</v>
      </c>
      <c r="I1262" t="s">
        <v>14</v>
      </c>
    </row>
    <row r="1263" spans="1:13" x14ac:dyDescent="0.2">
      <c r="A1263">
        <v>320193</v>
      </c>
      <c r="B1263" t="s">
        <v>98</v>
      </c>
      <c r="C1263" t="s">
        <v>19</v>
      </c>
      <c r="D1263" t="s">
        <v>20</v>
      </c>
      <c r="E1263" t="s">
        <v>12</v>
      </c>
      <c r="F1263">
        <v>25094000000</v>
      </c>
      <c r="G1263" s="1">
        <v>44829</v>
      </c>
      <c r="H1263" t="s">
        <v>13</v>
      </c>
      <c r="I1263" t="s">
        <v>14</v>
      </c>
    </row>
    <row r="1264" spans="1:13" x14ac:dyDescent="0.2">
      <c r="A1264">
        <v>320193</v>
      </c>
      <c r="B1264" t="s">
        <v>101</v>
      </c>
      <c r="C1264" t="s">
        <v>19</v>
      </c>
      <c r="D1264" t="s">
        <v>20</v>
      </c>
      <c r="E1264" t="s">
        <v>12</v>
      </c>
      <c r="F1264">
        <v>25094000000</v>
      </c>
      <c r="G1264" s="1">
        <v>44829</v>
      </c>
      <c r="H1264" t="s">
        <v>13</v>
      </c>
      <c r="I1264" t="s">
        <v>14</v>
      </c>
    </row>
    <row r="1265" spans="1:14" x14ac:dyDescent="0.2">
      <c r="A1265">
        <v>320193</v>
      </c>
      <c r="B1265" t="s">
        <v>88</v>
      </c>
      <c r="C1265" t="s">
        <v>19</v>
      </c>
      <c r="D1265" t="s">
        <v>20</v>
      </c>
      <c r="E1265" t="s">
        <v>12</v>
      </c>
      <c r="F1265">
        <v>24932000000</v>
      </c>
      <c r="G1265" s="1">
        <v>45200</v>
      </c>
      <c r="H1265" t="s">
        <v>13</v>
      </c>
      <c r="I1265" t="s">
        <v>14</v>
      </c>
    </row>
    <row r="1266" spans="1:14" x14ac:dyDescent="0.2">
      <c r="A1266">
        <v>320193</v>
      </c>
      <c r="B1266" t="s">
        <v>98</v>
      </c>
      <c r="C1266" t="s">
        <v>19</v>
      </c>
      <c r="D1266" t="s">
        <v>20</v>
      </c>
      <c r="E1266" t="s">
        <v>12</v>
      </c>
      <c r="F1266">
        <v>24932000000</v>
      </c>
      <c r="G1266" s="1">
        <v>45200</v>
      </c>
      <c r="H1266" t="s">
        <v>13</v>
      </c>
      <c r="I1266" t="s">
        <v>14</v>
      </c>
    </row>
    <row r="1267" spans="1:14" x14ac:dyDescent="0.2">
      <c r="A1267">
        <v>320193</v>
      </c>
      <c r="B1267" t="s">
        <v>101</v>
      </c>
      <c r="C1267" t="s">
        <v>19</v>
      </c>
      <c r="D1267" t="s">
        <v>20</v>
      </c>
      <c r="E1267" t="s">
        <v>12</v>
      </c>
      <c r="F1267">
        <v>24932000000</v>
      </c>
      <c r="G1267" s="1">
        <v>45200</v>
      </c>
      <c r="H1267" t="s">
        <v>13</v>
      </c>
      <c r="I1267" t="s">
        <v>14</v>
      </c>
    </row>
    <row r="1268" spans="1:14" x14ac:dyDescent="0.2">
      <c r="A1268">
        <v>320193</v>
      </c>
      <c r="B1268" t="s">
        <v>88</v>
      </c>
      <c r="C1268" t="s">
        <v>19</v>
      </c>
      <c r="D1268" t="s">
        <v>20</v>
      </c>
      <c r="E1268" t="s">
        <v>12</v>
      </c>
      <c r="F1268">
        <v>26097000000</v>
      </c>
      <c r="G1268" s="1">
        <v>45564</v>
      </c>
      <c r="H1268" t="s">
        <v>13</v>
      </c>
      <c r="I1268" t="s">
        <v>14</v>
      </c>
    </row>
    <row r="1269" spans="1:14" x14ac:dyDescent="0.2">
      <c r="A1269">
        <v>320193</v>
      </c>
      <c r="B1269" t="s">
        <v>98</v>
      </c>
      <c r="C1269" t="s">
        <v>19</v>
      </c>
      <c r="D1269" t="s">
        <v>20</v>
      </c>
      <c r="E1269" t="s">
        <v>12</v>
      </c>
      <c r="F1269">
        <v>26097000000</v>
      </c>
      <c r="G1269" s="1">
        <v>45564</v>
      </c>
      <c r="H1269" t="s">
        <v>13</v>
      </c>
      <c r="I1269" t="s">
        <v>14</v>
      </c>
    </row>
    <row r="1270" spans="1:14" x14ac:dyDescent="0.2">
      <c r="A1270">
        <v>320193</v>
      </c>
      <c r="B1270" t="s">
        <v>88</v>
      </c>
      <c r="C1270" t="s">
        <v>19</v>
      </c>
      <c r="D1270" t="s">
        <v>20</v>
      </c>
      <c r="E1270" t="s">
        <v>12</v>
      </c>
      <c r="F1270">
        <v>27601000000</v>
      </c>
      <c r="G1270" s="1">
        <v>45928</v>
      </c>
      <c r="H1270" t="s">
        <v>13</v>
      </c>
      <c r="I1270" t="s">
        <v>14</v>
      </c>
    </row>
    <row r="1271" spans="1:14" x14ac:dyDescent="0.2">
      <c r="A1271">
        <v>320193</v>
      </c>
      <c r="B1271" t="s">
        <v>9</v>
      </c>
      <c r="C1271" t="s">
        <v>10</v>
      </c>
      <c r="D1271" t="s">
        <v>11</v>
      </c>
      <c r="E1271" t="s">
        <v>12</v>
      </c>
      <c r="F1271">
        <v>4754986000</v>
      </c>
      <c r="G1271" s="1">
        <v>43373</v>
      </c>
      <c r="H1271" t="s">
        <v>13</v>
      </c>
      <c r="I1271" t="s">
        <v>14</v>
      </c>
    </row>
    <row r="1272" spans="1:14" x14ac:dyDescent="0.2">
      <c r="A1272">
        <v>320193</v>
      </c>
      <c r="B1272" t="s">
        <v>9</v>
      </c>
      <c r="C1272" t="s">
        <v>10</v>
      </c>
      <c r="D1272" t="s">
        <v>11</v>
      </c>
      <c r="E1272" t="s">
        <v>12</v>
      </c>
      <c r="F1272">
        <v>4443236000</v>
      </c>
      <c r="G1272" s="1">
        <v>43737</v>
      </c>
      <c r="H1272" t="s">
        <v>13</v>
      </c>
      <c r="I1272" t="s">
        <v>14</v>
      </c>
    </row>
    <row r="1273" spans="1:14" x14ac:dyDescent="0.2">
      <c r="A1273">
        <v>320193</v>
      </c>
      <c r="B1273" t="s">
        <v>100</v>
      </c>
      <c r="C1273" t="s">
        <v>10</v>
      </c>
      <c r="D1273" t="s">
        <v>11</v>
      </c>
      <c r="E1273" t="s">
        <v>12</v>
      </c>
      <c r="F1273">
        <v>17772945000</v>
      </c>
      <c r="G1273" s="1">
        <v>43737</v>
      </c>
      <c r="H1273" t="s">
        <v>13</v>
      </c>
      <c r="I1273" t="s">
        <v>14</v>
      </c>
      <c r="M1273" s="1"/>
    </row>
    <row r="1274" spans="1:14" x14ac:dyDescent="0.2">
      <c r="A1274">
        <v>320193</v>
      </c>
      <c r="B1274" t="s">
        <v>99</v>
      </c>
      <c r="C1274" t="s">
        <v>10</v>
      </c>
      <c r="D1274" t="s">
        <v>11</v>
      </c>
      <c r="E1274" t="s">
        <v>12</v>
      </c>
      <c r="F1274">
        <v>16976763000</v>
      </c>
      <c r="G1274" s="1">
        <v>44101</v>
      </c>
      <c r="H1274" t="s">
        <v>13</v>
      </c>
      <c r="I1274" t="s">
        <v>14</v>
      </c>
      <c r="M1274" s="1"/>
    </row>
    <row r="1275" spans="1:14" x14ac:dyDescent="0.2">
      <c r="A1275">
        <v>320193</v>
      </c>
      <c r="B1275" t="s">
        <v>100</v>
      </c>
      <c r="C1275" t="s">
        <v>10</v>
      </c>
      <c r="D1275" t="s">
        <v>11</v>
      </c>
      <c r="E1275" t="s">
        <v>12</v>
      </c>
      <c r="F1275">
        <v>16976763000</v>
      </c>
      <c r="G1275" s="1">
        <v>44101</v>
      </c>
      <c r="H1275" t="s">
        <v>13</v>
      </c>
      <c r="I1275" t="s">
        <v>14</v>
      </c>
      <c r="M1275" s="1">
        <v>43737</v>
      </c>
      <c r="N1275">
        <v>17772945000</v>
      </c>
    </row>
    <row r="1276" spans="1:14" x14ac:dyDescent="0.2">
      <c r="A1276">
        <v>320193</v>
      </c>
      <c r="B1276" t="s">
        <v>97</v>
      </c>
      <c r="C1276" t="s">
        <v>10</v>
      </c>
      <c r="D1276" t="s">
        <v>11</v>
      </c>
      <c r="E1276" t="s">
        <v>12</v>
      </c>
      <c r="F1276">
        <v>16426786000</v>
      </c>
      <c r="G1276" s="1">
        <v>44465</v>
      </c>
      <c r="H1276" t="s">
        <v>13</v>
      </c>
      <c r="I1276" t="s">
        <v>14</v>
      </c>
      <c r="M1276" s="1">
        <v>44101</v>
      </c>
      <c r="N1276">
        <v>16976763000</v>
      </c>
    </row>
    <row r="1277" spans="1:14" x14ac:dyDescent="0.2">
      <c r="A1277">
        <v>320193</v>
      </c>
      <c r="B1277" t="s">
        <v>99</v>
      </c>
      <c r="C1277" t="s">
        <v>10</v>
      </c>
      <c r="D1277" t="s">
        <v>11</v>
      </c>
      <c r="E1277" t="s">
        <v>12</v>
      </c>
      <c r="F1277">
        <v>16426786000</v>
      </c>
      <c r="G1277" s="1">
        <v>44465</v>
      </c>
      <c r="H1277" t="s">
        <v>13</v>
      </c>
      <c r="I1277" t="s">
        <v>14</v>
      </c>
      <c r="M1277" s="1">
        <v>44101</v>
      </c>
      <c r="N1277">
        <v>16976763000</v>
      </c>
    </row>
    <row r="1278" spans="1:14" x14ac:dyDescent="0.2">
      <c r="A1278">
        <v>320193</v>
      </c>
      <c r="B1278" t="s">
        <v>97</v>
      </c>
      <c r="C1278" t="s">
        <v>10</v>
      </c>
      <c r="D1278" t="s">
        <v>11</v>
      </c>
      <c r="E1278" t="s">
        <v>12</v>
      </c>
      <c r="F1278">
        <v>15943425000</v>
      </c>
      <c r="G1278" s="1">
        <v>44829</v>
      </c>
      <c r="H1278" t="s">
        <v>13</v>
      </c>
      <c r="I1278" t="s">
        <v>14</v>
      </c>
      <c r="M1278" s="1">
        <v>44465</v>
      </c>
      <c r="N1278">
        <v>16426786000</v>
      </c>
    </row>
    <row r="1279" spans="1:14" x14ac:dyDescent="0.2">
      <c r="A1279">
        <v>320193</v>
      </c>
      <c r="B1279" t="s">
        <v>101</v>
      </c>
      <c r="C1279" t="s">
        <v>10</v>
      </c>
      <c r="D1279" t="s">
        <v>11</v>
      </c>
      <c r="E1279" t="s">
        <v>12</v>
      </c>
      <c r="F1279">
        <v>15943425000</v>
      </c>
      <c r="G1279" s="1">
        <v>44829</v>
      </c>
      <c r="H1279" t="s">
        <v>13</v>
      </c>
      <c r="I1279" t="s">
        <v>14</v>
      </c>
      <c r="M1279" s="1">
        <v>44465</v>
      </c>
      <c r="N1279">
        <v>16426786000</v>
      </c>
    </row>
    <row r="1280" spans="1:14" x14ac:dyDescent="0.2">
      <c r="A1280">
        <v>320193</v>
      </c>
      <c r="B1280" t="s">
        <v>98</v>
      </c>
      <c r="C1280" t="s">
        <v>10</v>
      </c>
      <c r="D1280" t="s">
        <v>11</v>
      </c>
      <c r="E1280" t="s">
        <v>12</v>
      </c>
      <c r="F1280">
        <v>15550061000</v>
      </c>
      <c r="G1280" s="1">
        <v>45200</v>
      </c>
      <c r="H1280" t="s">
        <v>13</v>
      </c>
      <c r="I1280" t="s">
        <v>14</v>
      </c>
      <c r="M1280" s="1">
        <v>44829</v>
      </c>
      <c r="N1280">
        <v>15943425000</v>
      </c>
    </row>
    <row r="1281" spans="1:14" x14ac:dyDescent="0.2">
      <c r="A1281">
        <v>320193</v>
      </c>
      <c r="B1281" t="s">
        <v>101</v>
      </c>
      <c r="C1281" t="s">
        <v>10</v>
      </c>
      <c r="D1281" t="s">
        <v>11</v>
      </c>
      <c r="E1281" t="s">
        <v>12</v>
      </c>
      <c r="F1281">
        <v>15550061000</v>
      </c>
      <c r="G1281" s="1">
        <v>45200</v>
      </c>
      <c r="H1281" t="s">
        <v>13</v>
      </c>
      <c r="I1281" t="s">
        <v>14</v>
      </c>
      <c r="M1281" s="1">
        <v>44829</v>
      </c>
      <c r="N1281">
        <v>15943425000</v>
      </c>
    </row>
    <row r="1282" spans="1:14" x14ac:dyDescent="0.2">
      <c r="A1282">
        <v>320193</v>
      </c>
      <c r="B1282" t="s">
        <v>88</v>
      </c>
      <c r="C1282" t="s">
        <v>10</v>
      </c>
      <c r="D1282" t="s">
        <v>11</v>
      </c>
      <c r="E1282" t="s">
        <v>12</v>
      </c>
      <c r="F1282">
        <v>15116786000</v>
      </c>
      <c r="G1282" s="1">
        <v>45564</v>
      </c>
      <c r="H1282" t="s">
        <v>13</v>
      </c>
      <c r="I1282" t="s">
        <v>14</v>
      </c>
      <c r="M1282" s="1">
        <v>45200</v>
      </c>
      <c r="N1282">
        <v>15550061000</v>
      </c>
    </row>
    <row r="1283" spans="1:14" x14ac:dyDescent="0.2">
      <c r="A1283">
        <v>320193</v>
      </c>
      <c r="B1283" t="s">
        <v>98</v>
      </c>
      <c r="C1283" t="s">
        <v>10</v>
      </c>
      <c r="D1283" t="s">
        <v>11</v>
      </c>
      <c r="E1283" t="s">
        <v>12</v>
      </c>
      <c r="F1283">
        <v>15116786000</v>
      </c>
      <c r="G1283" s="1">
        <v>45564</v>
      </c>
      <c r="H1283" t="s">
        <v>13</v>
      </c>
      <c r="I1283" t="s">
        <v>14</v>
      </c>
      <c r="M1283" s="1">
        <v>45200</v>
      </c>
      <c r="N1283">
        <v>15550061000</v>
      </c>
    </row>
    <row r="1284" spans="1:14" x14ac:dyDescent="0.2">
      <c r="A1284">
        <v>320193</v>
      </c>
      <c r="B1284" t="s">
        <v>88</v>
      </c>
      <c r="C1284" t="s">
        <v>10</v>
      </c>
      <c r="D1284" t="s">
        <v>11</v>
      </c>
      <c r="E1284" t="s">
        <v>12</v>
      </c>
      <c r="F1284">
        <v>14773260000</v>
      </c>
      <c r="G1284" s="1">
        <v>45928</v>
      </c>
      <c r="H1284" t="s">
        <v>13</v>
      </c>
      <c r="I1284" t="s">
        <v>14</v>
      </c>
      <c r="M1284" s="1">
        <v>45564</v>
      </c>
      <c r="N1284">
        <v>15116786000</v>
      </c>
    </row>
    <row r="1285" spans="1:14" x14ac:dyDescent="0.2">
      <c r="A1285">
        <v>320193</v>
      </c>
      <c r="B1285" t="s">
        <v>9</v>
      </c>
      <c r="C1285" t="s">
        <v>65</v>
      </c>
      <c r="D1285" t="s">
        <v>64</v>
      </c>
      <c r="E1285" t="s">
        <v>12</v>
      </c>
      <c r="F1285">
        <v>128249000000</v>
      </c>
      <c r="G1285" s="1">
        <v>42638</v>
      </c>
      <c r="H1285" t="s">
        <v>13</v>
      </c>
      <c r="I1285" t="s">
        <v>14</v>
      </c>
      <c r="M1285" s="1">
        <v>45564</v>
      </c>
      <c r="N1285">
        <v>15116786000</v>
      </c>
    </row>
    <row r="1286" spans="1:14" x14ac:dyDescent="0.2">
      <c r="A1286">
        <v>320193</v>
      </c>
      <c r="B1286" t="s">
        <v>9</v>
      </c>
      <c r="C1286" t="s">
        <v>65</v>
      </c>
      <c r="D1286" t="s">
        <v>64</v>
      </c>
      <c r="E1286" t="s">
        <v>12</v>
      </c>
      <c r="F1286">
        <v>134047000000</v>
      </c>
      <c r="G1286" s="1">
        <v>43009</v>
      </c>
      <c r="H1286" t="s">
        <v>13</v>
      </c>
      <c r="I1286" t="s">
        <v>14</v>
      </c>
      <c r="M1286" s="1">
        <v>45928</v>
      </c>
      <c r="N1286">
        <v>14773260000</v>
      </c>
    </row>
    <row r="1287" spans="1:14" x14ac:dyDescent="0.2">
      <c r="A1287">
        <v>320193</v>
      </c>
      <c r="B1287" t="s">
        <v>9</v>
      </c>
      <c r="C1287" t="s">
        <v>65</v>
      </c>
      <c r="D1287" t="s">
        <v>64</v>
      </c>
      <c r="E1287" t="s">
        <v>12</v>
      </c>
      <c r="F1287">
        <v>134047000000</v>
      </c>
      <c r="G1287" s="1">
        <v>43009</v>
      </c>
      <c r="H1287" t="s">
        <v>13</v>
      </c>
      <c r="I1287" t="s">
        <v>14</v>
      </c>
    </row>
    <row r="1288" spans="1:14" x14ac:dyDescent="0.2">
      <c r="A1288">
        <v>320193</v>
      </c>
      <c r="B1288" t="s">
        <v>100</v>
      </c>
      <c r="C1288" t="s">
        <v>65</v>
      </c>
      <c r="D1288" t="s">
        <v>64</v>
      </c>
      <c r="E1288" t="s">
        <v>12</v>
      </c>
      <c r="F1288">
        <v>134047000000</v>
      </c>
      <c r="G1288" s="1">
        <v>43009</v>
      </c>
      <c r="H1288" t="s">
        <v>13</v>
      </c>
      <c r="I1288" t="s">
        <v>14</v>
      </c>
    </row>
    <row r="1289" spans="1:14" x14ac:dyDescent="0.2">
      <c r="A1289">
        <v>320193</v>
      </c>
      <c r="B1289" t="s">
        <v>9</v>
      </c>
      <c r="C1289" t="s">
        <v>65</v>
      </c>
      <c r="D1289" t="s">
        <v>64</v>
      </c>
      <c r="E1289" t="s">
        <v>12</v>
      </c>
      <c r="F1289">
        <v>107147000000</v>
      </c>
      <c r="G1289" s="1">
        <v>43373</v>
      </c>
      <c r="H1289" t="s">
        <v>13</v>
      </c>
      <c r="I1289" t="s">
        <v>14</v>
      </c>
    </row>
    <row r="1290" spans="1:14" x14ac:dyDescent="0.2">
      <c r="A1290">
        <v>320193</v>
      </c>
      <c r="B1290" t="s">
        <v>9</v>
      </c>
      <c r="C1290" t="s">
        <v>65</v>
      </c>
      <c r="D1290" t="s">
        <v>64</v>
      </c>
      <c r="E1290" t="s">
        <v>12</v>
      </c>
      <c r="F1290">
        <v>107147000000</v>
      </c>
      <c r="G1290" s="1">
        <v>43373</v>
      </c>
      <c r="H1290" t="s">
        <v>13</v>
      </c>
      <c r="I1290" t="s">
        <v>14</v>
      </c>
    </row>
    <row r="1291" spans="1:14" x14ac:dyDescent="0.2">
      <c r="A1291">
        <v>320193</v>
      </c>
      <c r="B1291" t="s">
        <v>9</v>
      </c>
      <c r="C1291" t="s">
        <v>65</v>
      </c>
      <c r="D1291" t="s">
        <v>64</v>
      </c>
      <c r="E1291" t="s">
        <v>12</v>
      </c>
      <c r="F1291">
        <v>107147000000</v>
      </c>
      <c r="G1291" s="1">
        <v>43373</v>
      </c>
      <c r="H1291" t="s">
        <v>13</v>
      </c>
      <c r="I1291" t="s">
        <v>14</v>
      </c>
    </row>
    <row r="1292" spans="1:14" x14ac:dyDescent="0.2">
      <c r="A1292">
        <v>320193</v>
      </c>
      <c r="B1292" t="s">
        <v>99</v>
      </c>
      <c r="C1292" t="s">
        <v>65</v>
      </c>
      <c r="D1292" t="s">
        <v>64</v>
      </c>
      <c r="E1292" t="s">
        <v>12</v>
      </c>
      <c r="F1292">
        <v>107147000000</v>
      </c>
      <c r="G1292" s="1">
        <v>43373</v>
      </c>
      <c r="H1292" t="s">
        <v>13</v>
      </c>
      <c r="I1292" t="s">
        <v>14</v>
      </c>
    </row>
    <row r="1293" spans="1:14" x14ac:dyDescent="0.2">
      <c r="A1293">
        <v>320193</v>
      </c>
      <c r="B1293" t="s">
        <v>100</v>
      </c>
      <c r="C1293" t="s">
        <v>65</v>
      </c>
      <c r="D1293" t="s">
        <v>64</v>
      </c>
      <c r="E1293" t="s">
        <v>12</v>
      </c>
      <c r="F1293">
        <v>107147000000</v>
      </c>
      <c r="G1293" s="1">
        <v>43373</v>
      </c>
      <c r="H1293" t="s">
        <v>13</v>
      </c>
      <c r="I1293" t="s">
        <v>14</v>
      </c>
    </row>
    <row r="1294" spans="1:14" x14ac:dyDescent="0.2">
      <c r="A1294">
        <v>320193</v>
      </c>
      <c r="B1294" t="s">
        <v>100</v>
      </c>
      <c r="C1294" t="s">
        <v>65</v>
      </c>
      <c r="D1294" t="s">
        <v>64</v>
      </c>
      <c r="E1294" t="s">
        <v>12</v>
      </c>
      <c r="F1294">
        <v>107147000000</v>
      </c>
      <c r="G1294" s="1">
        <v>43373</v>
      </c>
      <c r="H1294" t="s">
        <v>13</v>
      </c>
      <c r="I1294" t="s">
        <v>14</v>
      </c>
    </row>
    <row r="1295" spans="1:14" x14ac:dyDescent="0.2">
      <c r="A1295">
        <v>320193</v>
      </c>
      <c r="B1295" t="s">
        <v>9</v>
      </c>
      <c r="C1295" t="s">
        <v>65</v>
      </c>
      <c r="D1295" t="s">
        <v>64</v>
      </c>
      <c r="E1295" t="s">
        <v>12</v>
      </c>
      <c r="F1295">
        <v>90488000000</v>
      </c>
      <c r="G1295" s="1">
        <v>43737</v>
      </c>
      <c r="H1295" t="s">
        <v>13</v>
      </c>
      <c r="I1295" t="s">
        <v>14</v>
      </c>
    </row>
    <row r="1296" spans="1:14" x14ac:dyDescent="0.2">
      <c r="A1296">
        <v>320193</v>
      </c>
      <c r="B1296" t="s">
        <v>9</v>
      </c>
      <c r="C1296" t="s">
        <v>65</v>
      </c>
      <c r="D1296" t="s">
        <v>64</v>
      </c>
      <c r="E1296" t="s">
        <v>12</v>
      </c>
      <c r="F1296">
        <v>90488000000</v>
      </c>
      <c r="G1296" s="1">
        <v>43737</v>
      </c>
      <c r="H1296" t="s">
        <v>13</v>
      </c>
      <c r="I1296" t="s">
        <v>14</v>
      </c>
    </row>
    <row r="1297" spans="1:9" x14ac:dyDescent="0.2">
      <c r="A1297">
        <v>320193</v>
      </c>
      <c r="B1297" t="s">
        <v>97</v>
      </c>
      <c r="C1297" t="s">
        <v>65</v>
      </c>
      <c r="D1297" t="s">
        <v>64</v>
      </c>
      <c r="E1297" t="s">
        <v>12</v>
      </c>
      <c r="F1297">
        <v>90488000000</v>
      </c>
      <c r="G1297" s="1">
        <v>43737</v>
      </c>
      <c r="H1297" t="s">
        <v>13</v>
      </c>
      <c r="I1297" t="s">
        <v>14</v>
      </c>
    </row>
    <row r="1298" spans="1:9" x14ac:dyDescent="0.2">
      <c r="A1298">
        <v>320193</v>
      </c>
      <c r="B1298" t="s">
        <v>99</v>
      </c>
      <c r="C1298" t="s">
        <v>65</v>
      </c>
      <c r="D1298" t="s">
        <v>64</v>
      </c>
      <c r="E1298" t="s">
        <v>12</v>
      </c>
      <c r="F1298">
        <v>90488000000</v>
      </c>
      <c r="G1298" s="1">
        <v>43737</v>
      </c>
      <c r="H1298" t="s">
        <v>13</v>
      </c>
      <c r="I1298" t="s">
        <v>14</v>
      </c>
    </row>
    <row r="1299" spans="1:9" x14ac:dyDescent="0.2">
      <c r="A1299">
        <v>320193</v>
      </c>
      <c r="B1299" t="s">
        <v>99</v>
      </c>
      <c r="C1299" t="s">
        <v>65</v>
      </c>
      <c r="D1299" t="s">
        <v>64</v>
      </c>
      <c r="E1299" t="s">
        <v>12</v>
      </c>
      <c r="F1299">
        <v>90488000000</v>
      </c>
      <c r="G1299" s="1">
        <v>43737</v>
      </c>
      <c r="H1299" t="s">
        <v>13</v>
      </c>
      <c r="I1299" t="s">
        <v>14</v>
      </c>
    </row>
    <row r="1300" spans="1:9" x14ac:dyDescent="0.2">
      <c r="A1300">
        <v>320193</v>
      </c>
      <c r="B1300" t="s">
        <v>100</v>
      </c>
      <c r="C1300" t="s">
        <v>65</v>
      </c>
      <c r="D1300" t="s">
        <v>64</v>
      </c>
      <c r="E1300" t="s">
        <v>12</v>
      </c>
      <c r="F1300">
        <v>90488000000</v>
      </c>
      <c r="G1300" s="1">
        <v>43737</v>
      </c>
      <c r="H1300" t="s">
        <v>13</v>
      </c>
      <c r="I1300" t="s">
        <v>14</v>
      </c>
    </row>
    <row r="1301" spans="1:9" x14ac:dyDescent="0.2">
      <c r="A1301">
        <v>320193</v>
      </c>
      <c r="B1301" t="s">
        <v>100</v>
      </c>
      <c r="C1301" t="s">
        <v>65</v>
      </c>
      <c r="D1301" t="s">
        <v>64</v>
      </c>
      <c r="E1301" t="s">
        <v>12</v>
      </c>
      <c r="F1301">
        <v>90488000000</v>
      </c>
      <c r="G1301" s="1">
        <v>43737</v>
      </c>
      <c r="H1301" t="s">
        <v>13</v>
      </c>
      <c r="I1301" t="s">
        <v>14</v>
      </c>
    </row>
    <row r="1302" spans="1:9" x14ac:dyDescent="0.2">
      <c r="A1302">
        <v>320193</v>
      </c>
      <c r="B1302" t="s">
        <v>100</v>
      </c>
      <c r="C1302" t="s">
        <v>65</v>
      </c>
      <c r="D1302" t="s">
        <v>64</v>
      </c>
      <c r="E1302" t="s">
        <v>12</v>
      </c>
      <c r="F1302">
        <v>90488000000</v>
      </c>
      <c r="G1302" s="1">
        <v>43737</v>
      </c>
      <c r="H1302" t="s">
        <v>13</v>
      </c>
      <c r="I1302" t="s">
        <v>14</v>
      </c>
    </row>
    <row r="1303" spans="1:9" x14ac:dyDescent="0.2">
      <c r="A1303">
        <v>320193</v>
      </c>
      <c r="B1303" t="s">
        <v>97</v>
      </c>
      <c r="C1303" t="s">
        <v>65</v>
      </c>
      <c r="D1303" t="s">
        <v>64</v>
      </c>
      <c r="E1303" t="s">
        <v>12</v>
      </c>
      <c r="F1303">
        <v>65339000000</v>
      </c>
      <c r="G1303" s="1">
        <v>44101</v>
      </c>
      <c r="H1303" t="s">
        <v>13</v>
      </c>
      <c r="I1303" t="s">
        <v>14</v>
      </c>
    </row>
    <row r="1304" spans="1:9" x14ac:dyDescent="0.2">
      <c r="A1304">
        <v>320193</v>
      </c>
      <c r="B1304" t="s">
        <v>97</v>
      </c>
      <c r="C1304" t="s">
        <v>65</v>
      </c>
      <c r="D1304" t="s">
        <v>64</v>
      </c>
      <c r="E1304" t="s">
        <v>12</v>
      </c>
      <c r="F1304">
        <v>65339000000</v>
      </c>
      <c r="G1304" s="1">
        <v>44101</v>
      </c>
      <c r="H1304" t="s">
        <v>13</v>
      </c>
      <c r="I1304" t="s">
        <v>14</v>
      </c>
    </row>
    <row r="1305" spans="1:9" x14ac:dyDescent="0.2">
      <c r="A1305">
        <v>320193</v>
      </c>
      <c r="B1305" t="s">
        <v>99</v>
      </c>
      <c r="C1305" t="s">
        <v>65</v>
      </c>
      <c r="D1305" t="s">
        <v>64</v>
      </c>
      <c r="E1305" t="s">
        <v>12</v>
      </c>
      <c r="F1305">
        <v>65339000000</v>
      </c>
      <c r="G1305" s="1">
        <v>44101</v>
      </c>
      <c r="H1305" t="s">
        <v>13</v>
      </c>
      <c r="I1305" t="s">
        <v>14</v>
      </c>
    </row>
    <row r="1306" spans="1:9" x14ac:dyDescent="0.2">
      <c r="A1306">
        <v>320193</v>
      </c>
      <c r="B1306" t="s">
        <v>99</v>
      </c>
      <c r="C1306" t="s">
        <v>65</v>
      </c>
      <c r="D1306" t="s">
        <v>64</v>
      </c>
      <c r="E1306" t="s">
        <v>12</v>
      </c>
      <c r="F1306">
        <v>65339000000</v>
      </c>
      <c r="G1306" s="1">
        <v>44101</v>
      </c>
      <c r="H1306" t="s">
        <v>13</v>
      </c>
      <c r="I1306" t="s">
        <v>14</v>
      </c>
    </row>
    <row r="1307" spans="1:9" x14ac:dyDescent="0.2">
      <c r="A1307">
        <v>320193</v>
      </c>
      <c r="B1307" t="s">
        <v>99</v>
      </c>
      <c r="C1307" t="s">
        <v>65</v>
      </c>
      <c r="D1307" t="s">
        <v>64</v>
      </c>
      <c r="E1307" t="s">
        <v>12</v>
      </c>
      <c r="F1307">
        <v>65339000000</v>
      </c>
      <c r="G1307" s="1">
        <v>44101</v>
      </c>
      <c r="H1307" t="s">
        <v>13</v>
      </c>
      <c r="I1307" t="s">
        <v>14</v>
      </c>
    </row>
    <row r="1308" spans="1:9" x14ac:dyDescent="0.2">
      <c r="A1308">
        <v>320193</v>
      </c>
      <c r="B1308" t="s">
        <v>100</v>
      </c>
      <c r="C1308" t="s">
        <v>65</v>
      </c>
      <c r="D1308" t="s">
        <v>64</v>
      </c>
      <c r="E1308" t="s">
        <v>12</v>
      </c>
      <c r="F1308">
        <v>65339000000</v>
      </c>
      <c r="G1308" s="1">
        <v>44101</v>
      </c>
      <c r="H1308" t="s">
        <v>13</v>
      </c>
      <c r="I1308" t="s">
        <v>14</v>
      </c>
    </row>
    <row r="1309" spans="1:9" x14ac:dyDescent="0.2">
      <c r="A1309">
        <v>320193</v>
      </c>
      <c r="B1309" t="s">
        <v>100</v>
      </c>
      <c r="C1309" t="s">
        <v>65</v>
      </c>
      <c r="D1309" t="s">
        <v>64</v>
      </c>
      <c r="E1309" t="s">
        <v>12</v>
      </c>
      <c r="F1309">
        <v>65339000000</v>
      </c>
      <c r="G1309" s="1">
        <v>44101</v>
      </c>
      <c r="H1309" t="s">
        <v>13</v>
      </c>
      <c r="I1309" t="s">
        <v>14</v>
      </c>
    </row>
    <row r="1310" spans="1:9" x14ac:dyDescent="0.2">
      <c r="A1310">
        <v>320193</v>
      </c>
      <c r="B1310" t="s">
        <v>101</v>
      </c>
      <c r="C1310" t="s">
        <v>65</v>
      </c>
      <c r="D1310" t="s">
        <v>64</v>
      </c>
      <c r="E1310" t="s">
        <v>12</v>
      </c>
      <c r="F1310">
        <v>65339000000</v>
      </c>
      <c r="G1310" s="1">
        <v>44101</v>
      </c>
      <c r="H1310" t="s">
        <v>13</v>
      </c>
      <c r="I1310" t="s">
        <v>14</v>
      </c>
    </row>
    <row r="1311" spans="1:9" x14ac:dyDescent="0.2">
      <c r="A1311">
        <v>320193</v>
      </c>
      <c r="B1311" t="s">
        <v>97</v>
      </c>
      <c r="C1311" t="s">
        <v>65</v>
      </c>
      <c r="D1311" t="s">
        <v>64</v>
      </c>
      <c r="E1311" t="s">
        <v>12</v>
      </c>
      <c r="F1311">
        <v>63090000000</v>
      </c>
      <c r="G1311" s="1">
        <v>44465</v>
      </c>
      <c r="H1311" t="s">
        <v>13</v>
      </c>
      <c r="I1311" t="s">
        <v>14</v>
      </c>
    </row>
    <row r="1312" spans="1:9" x14ac:dyDescent="0.2">
      <c r="A1312">
        <v>320193</v>
      </c>
      <c r="B1312" t="s">
        <v>97</v>
      </c>
      <c r="C1312" t="s">
        <v>65</v>
      </c>
      <c r="D1312" t="s">
        <v>64</v>
      </c>
      <c r="E1312" t="s">
        <v>12</v>
      </c>
      <c r="F1312">
        <v>63090000000</v>
      </c>
      <c r="G1312" s="1">
        <v>44465</v>
      </c>
      <c r="H1312" t="s">
        <v>13</v>
      </c>
      <c r="I1312" t="s">
        <v>14</v>
      </c>
    </row>
    <row r="1313" spans="1:9" x14ac:dyDescent="0.2">
      <c r="A1313">
        <v>320193</v>
      </c>
      <c r="B1313" t="s">
        <v>97</v>
      </c>
      <c r="C1313" t="s">
        <v>65</v>
      </c>
      <c r="D1313" t="s">
        <v>64</v>
      </c>
      <c r="E1313" t="s">
        <v>12</v>
      </c>
      <c r="F1313">
        <v>63090000000</v>
      </c>
      <c r="G1313" s="1">
        <v>44465</v>
      </c>
      <c r="H1313" t="s">
        <v>13</v>
      </c>
      <c r="I1313" t="s">
        <v>14</v>
      </c>
    </row>
    <row r="1314" spans="1:9" x14ac:dyDescent="0.2">
      <c r="A1314">
        <v>320193</v>
      </c>
      <c r="B1314" t="s">
        <v>98</v>
      </c>
      <c r="C1314" t="s">
        <v>65</v>
      </c>
      <c r="D1314" t="s">
        <v>64</v>
      </c>
      <c r="E1314" t="s">
        <v>12</v>
      </c>
      <c r="F1314">
        <v>63090000000</v>
      </c>
      <c r="G1314" s="1">
        <v>44465</v>
      </c>
      <c r="H1314" t="s">
        <v>13</v>
      </c>
      <c r="I1314" t="s">
        <v>14</v>
      </c>
    </row>
    <row r="1315" spans="1:9" x14ac:dyDescent="0.2">
      <c r="A1315">
        <v>320193</v>
      </c>
      <c r="B1315" t="s">
        <v>99</v>
      </c>
      <c r="C1315" t="s">
        <v>65</v>
      </c>
      <c r="D1315" t="s">
        <v>64</v>
      </c>
      <c r="E1315" t="s">
        <v>12</v>
      </c>
      <c r="F1315">
        <v>63090000000</v>
      </c>
      <c r="G1315" s="1">
        <v>44465</v>
      </c>
      <c r="H1315" t="s">
        <v>13</v>
      </c>
      <c r="I1315" t="s">
        <v>14</v>
      </c>
    </row>
    <row r="1316" spans="1:9" x14ac:dyDescent="0.2">
      <c r="A1316">
        <v>320193</v>
      </c>
      <c r="B1316" t="s">
        <v>99</v>
      </c>
      <c r="C1316" t="s">
        <v>65</v>
      </c>
      <c r="D1316" t="s">
        <v>64</v>
      </c>
      <c r="E1316" t="s">
        <v>12</v>
      </c>
      <c r="F1316">
        <v>63090000000</v>
      </c>
      <c r="G1316" s="1">
        <v>44465</v>
      </c>
      <c r="H1316" t="s">
        <v>13</v>
      </c>
      <c r="I1316" t="s">
        <v>14</v>
      </c>
    </row>
    <row r="1317" spans="1:9" x14ac:dyDescent="0.2">
      <c r="A1317">
        <v>320193</v>
      </c>
      <c r="B1317" t="s">
        <v>101</v>
      </c>
      <c r="C1317" t="s">
        <v>65</v>
      </c>
      <c r="D1317" t="s">
        <v>64</v>
      </c>
      <c r="E1317" t="s">
        <v>12</v>
      </c>
      <c r="F1317">
        <v>63090000000</v>
      </c>
      <c r="G1317" s="1">
        <v>44465</v>
      </c>
      <c r="H1317" t="s">
        <v>13</v>
      </c>
      <c r="I1317" t="s">
        <v>14</v>
      </c>
    </row>
    <row r="1318" spans="1:9" x14ac:dyDescent="0.2">
      <c r="A1318">
        <v>320193</v>
      </c>
      <c r="B1318" t="s">
        <v>101</v>
      </c>
      <c r="C1318" t="s">
        <v>65</v>
      </c>
      <c r="D1318" t="s">
        <v>64</v>
      </c>
      <c r="E1318" t="s">
        <v>12</v>
      </c>
      <c r="F1318">
        <v>63090000000</v>
      </c>
      <c r="G1318" s="1">
        <v>44465</v>
      </c>
      <c r="H1318" t="s">
        <v>13</v>
      </c>
      <c r="I1318" t="s">
        <v>14</v>
      </c>
    </row>
    <row r="1319" spans="1:9" x14ac:dyDescent="0.2">
      <c r="A1319">
        <v>320193</v>
      </c>
      <c r="B1319" t="s">
        <v>88</v>
      </c>
      <c r="C1319" t="s">
        <v>65</v>
      </c>
      <c r="D1319" t="s">
        <v>64</v>
      </c>
      <c r="E1319" t="s">
        <v>12</v>
      </c>
      <c r="F1319">
        <v>50672000000</v>
      </c>
      <c r="G1319" s="1">
        <v>44829</v>
      </c>
      <c r="H1319" t="s">
        <v>13</v>
      </c>
      <c r="I1319" t="s">
        <v>14</v>
      </c>
    </row>
    <row r="1320" spans="1:9" x14ac:dyDescent="0.2">
      <c r="A1320">
        <v>320193</v>
      </c>
      <c r="B1320" t="s">
        <v>97</v>
      </c>
      <c r="C1320" t="s">
        <v>65</v>
      </c>
      <c r="D1320" t="s">
        <v>64</v>
      </c>
      <c r="E1320" t="s">
        <v>12</v>
      </c>
      <c r="F1320">
        <v>50672000000</v>
      </c>
      <c r="G1320" s="1">
        <v>44829</v>
      </c>
      <c r="H1320" t="s">
        <v>13</v>
      </c>
      <c r="I1320" t="s">
        <v>14</v>
      </c>
    </row>
    <row r="1321" spans="1:9" x14ac:dyDescent="0.2">
      <c r="A1321">
        <v>320193</v>
      </c>
      <c r="B1321" t="s">
        <v>97</v>
      </c>
      <c r="C1321" t="s">
        <v>65</v>
      </c>
      <c r="D1321" t="s">
        <v>64</v>
      </c>
      <c r="E1321" t="s">
        <v>12</v>
      </c>
      <c r="F1321">
        <v>50672000000</v>
      </c>
      <c r="G1321" s="1">
        <v>44829</v>
      </c>
      <c r="H1321" t="s">
        <v>13</v>
      </c>
      <c r="I1321" t="s">
        <v>14</v>
      </c>
    </row>
    <row r="1322" spans="1:9" x14ac:dyDescent="0.2">
      <c r="A1322">
        <v>320193</v>
      </c>
      <c r="B1322" t="s">
        <v>98</v>
      </c>
      <c r="C1322" t="s">
        <v>65</v>
      </c>
      <c r="D1322" t="s">
        <v>64</v>
      </c>
      <c r="E1322" t="s">
        <v>12</v>
      </c>
      <c r="F1322">
        <v>50672000000</v>
      </c>
      <c r="G1322" s="1">
        <v>44829</v>
      </c>
      <c r="H1322" t="s">
        <v>13</v>
      </c>
      <c r="I1322" t="s">
        <v>14</v>
      </c>
    </row>
    <row r="1323" spans="1:9" x14ac:dyDescent="0.2">
      <c r="A1323">
        <v>320193</v>
      </c>
      <c r="B1323" t="s">
        <v>98</v>
      </c>
      <c r="C1323" t="s">
        <v>65</v>
      </c>
      <c r="D1323" t="s">
        <v>64</v>
      </c>
      <c r="E1323" t="s">
        <v>12</v>
      </c>
      <c r="F1323">
        <v>50672000000</v>
      </c>
      <c r="G1323" s="1">
        <v>44829</v>
      </c>
      <c r="H1323" t="s">
        <v>13</v>
      </c>
      <c r="I1323" t="s">
        <v>14</v>
      </c>
    </row>
    <row r="1324" spans="1:9" x14ac:dyDescent="0.2">
      <c r="A1324">
        <v>320193</v>
      </c>
      <c r="B1324" t="s">
        <v>101</v>
      </c>
      <c r="C1324" t="s">
        <v>65</v>
      </c>
      <c r="D1324" t="s">
        <v>64</v>
      </c>
      <c r="E1324" t="s">
        <v>12</v>
      </c>
      <c r="F1324">
        <v>50672000000</v>
      </c>
      <c r="G1324" s="1">
        <v>44829</v>
      </c>
      <c r="H1324" t="s">
        <v>13</v>
      </c>
      <c r="I1324" t="s">
        <v>14</v>
      </c>
    </row>
    <row r="1325" spans="1:9" x14ac:dyDescent="0.2">
      <c r="A1325">
        <v>320193</v>
      </c>
      <c r="B1325" t="s">
        <v>101</v>
      </c>
      <c r="C1325" t="s">
        <v>65</v>
      </c>
      <c r="D1325" t="s">
        <v>64</v>
      </c>
      <c r="E1325" t="s">
        <v>12</v>
      </c>
      <c r="F1325">
        <v>50672000000</v>
      </c>
      <c r="G1325" s="1">
        <v>44829</v>
      </c>
      <c r="H1325" t="s">
        <v>13</v>
      </c>
      <c r="I1325" t="s">
        <v>14</v>
      </c>
    </row>
    <row r="1326" spans="1:9" x14ac:dyDescent="0.2">
      <c r="A1326">
        <v>320193</v>
      </c>
      <c r="B1326" t="s">
        <v>101</v>
      </c>
      <c r="C1326" t="s">
        <v>65</v>
      </c>
      <c r="D1326" t="s">
        <v>64</v>
      </c>
      <c r="E1326" t="s">
        <v>12</v>
      </c>
      <c r="F1326">
        <v>50672000000</v>
      </c>
      <c r="G1326" s="1">
        <v>44829</v>
      </c>
      <c r="H1326" t="s">
        <v>13</v>
      </c>
      <c r="I1326" t="s">
        <v>14</v>
      </c>
    </row>
    <row r="1327" spans="1:9" x14ac:dyDescent="0.2">
      <c r="A1327">
        <v>320193</v>
      </c>
      <c r="B1327" t="s">
        <v>88</v>
      </c>
      <c r="C1327" t="s">
        <v>65</v>
      </c>
      <c r="D1327" t="s">
        <v>64</v>
      </c>
      <c r="E1327" t="s">
        <v>12</v>
      </c>
      <c r="F1327">
        <v>62146000000</v>
      </c>
      <c r="G1327" s="1">
        <v>45200</v>
      </c>
      <c r="H1327" t="s">
        <v>13</v>
      </c>
      <c r="I1327" t="s">
        <v>14</v>
      </c>
    </row>
    <row r="1328" spans="1:9" x14ac:dyDescent="0.2">
      <c r="A1328">
        <v>320193</v>
      </c>
      <c r="B1328" t="s">
        <v>88</v>
      </c>
      <c r="C1328" t="s">
        <v>65</v>
      </c>
      <c r="D1328" t="s">
        <v>64</v>
      </c>
      <c r="E1328" t="s">
        <v>12</v>
      </c>
      <c r="F1328">
        <v>62146000000</v>
      </c>
      <c r="G1328" s="1">
        <v>45200</v>
      </c>
      <c r="H1328" t="s">
        <v>13</v>
      </c>
      <c r="I1328" t="s">
        <v>14</v>
      </c>
    </row>
    <row r="1329" spans="1:9" x14ac:dyDescent="0.2">
      <c r="A1329">
        <v>320193</v>
      </c>
      <c r="B1329" t="s">
        <v>98</v>
      </c>
      <c r="C1329" t="s">
        <v>65</v>
      </c>
      <c r="D1329" t="s">
        <v>64</v>
      </c>
      <c r="E1329" t="s">
        <v>12</v>
      </c>
      <c r="F1329">
        <v>62146000000</v>
      </c>
      <c r="G1329" s="1">
        <v>45200</v>
      </c>
      <c r="H1329" t="s">
        <v>13</v>
      </c>
      <c r="I1329" t="s">
        <v>14</v>
      </c>
    </row>
    <row r="1330" spans="1:9" x14ac:dyDescent="0.2">
      <c r="A1330">
        <v>320193</v>
      </c>
      <c r="B1330" t="s">
        <v>98</v>
      </c>
      <c r="C1330" t="s">
        <v>65</v>
      </c>
      <c r="D1330" t="s">
        <v>64</v>
      </c>
      <c r="E1330" t="s">
        <v>12</v>
      </c>
      <c r="F1330">
        <v>62146000000</v>
      </c>
      <c r="G1330" s="1">
        <v>45200</v>
      </c>
      <c r="H1330" t="s">
        <v>13</v>
      </c>
      <c r="I1330" t="s">
        <v>14</v>
      </c>
    </row>
    <row r="1331" spans="1:9" x14ac:dyDescent="0.2">
      <c r="A1331">
        <v>320193</v>
      </c>
      <c r="B1331" t="s">
        <v>98</v>
      </c>
      <c r="C1331" t="s">
        <v>65</v>
      </c>
      <c r="D1331" t="s">
        <v>64</v>
      </c>
      <c r="E1331" t="s">
        <v>12</v>
      </c>
      <c r="F1331">
        <v>62146000000</v>
      </c>
      <c r="G1331" s="1">
        <v>45200</v>
      </c>
      <c r="H1331" t="s">
        <v>13</v>
      </c>
      <c r="I1331" t="s">
        <v>14</v>
      </c>
    </row>
    <row r="1332" spans="1:9" x14ac:dyDescent="0.2">
      <c r="A1332">
        <v>320193</v>
      </c>
      <c r="B1332" t="s">
        <v>101</v>
      </c>
      <c r="C1332" t="s">
        <v>65</v>
      </c>
      <c r="D1332" t="s">
        <v>64</v>
      </c>
      <c r="E1332" t="s">
        <v>12</v>
      </c>
      <c r="F1332">
        <v>62146000000</v>
      </c>
      <c r="G1332" s="1">
        <v>45200</v>
      </c>
      <c r="H1332" t="s">
        <v>13</v>
      </c>
      <c r="I1332" t="s">
        <v>14</v>
      </c>
    </row>
    <row r="1333" spans="1:9" x14ac:dyDescent="0.2">
      <c r="A1333">
        <v>320193</v>
      </c>
      <c r="B1333" t="s">
        <v>101</v>
      </c>
      <c r="C1333" t="s">
        <v>65</v>
      </c>
      <c r="D1333" t="s">
        <v>64</v>
      </c>
      <c r="E1333" t="s">
        <v>12</v>
      </c>
      <c r="F1333">
        <v>62146000000</v>
      </c>
      <c r="G1333" s="1">
        <v>45200</v>
      </c>
      <c r="H1333" t="s">
        <v>13</v>
      </c>
      <c r="I1333" t="s">
        <v>14</v>
      </c>
    </row>
    <row r="1334" spans="1:9" x14ac:dyDescent="0.2">
      <c r="A1334">
        <v>320193</v>
      </c>
      <c r="B1334" t="s">
        <v>88</v>
      </c>
      <c r="C1334" t="s">
        <v>65</v>
      </c>
      <c r="D1334" t="s">
        <v>64</v>
      </c>
      <c r="E1334" t="s">
        <v>12</v>
      </c>
      <c r="F1334">
        <v>56950000000</v>
      </c>
      <c r="G1334" s="1">
        <v>45564</v>
      </c>
      <c r="H1334" t="s">
        <v>13</v>
      </c>
      <c r="I1334" t="s">
        <v>14</v>
      </c>
    </row>
    <row r="1335" spans="1:9" x14ac:dyDescent="0.2">
      <c r="A1335">
        <v>320193</v>
      </c>
      <c r="B1335" t="s">
        <v>88</v>
      </c>
      <c r="C1335" t="s">
        <v>65</v>
      </c>
      <c r="D1335" t="s">
        <v>64</v>
      </c>
      <c r="E1335" t="s">
        <v>12</v>
      </c>
      <c r="F1335">
        <v>56950000000</v>
      </c>
      <c r="G1335" s="1">
        <v>45564</v>
      </c>
      <c r="H1335" t="s">
        <v>13</v>
      </c>
      <c r="I1335" t="s">
        <v>14</v>
      </c>
    </row>
    <row r="1336" spans="1:9" x14ac:dyDescent="0.2">
      <c r="A1336">
        <v>320193</v>
      </c>
      <c r="B1336" t="s">
        <v>88</v>
      </c>
      <c r="C1336" t="s">
        <v>65</v>
      </c>
      <c r="D1336" t="s">
        <v>64</v>
      </c>
      <c r="E1336" t="s">
        <v>12</v>
      </c>
      <c r="F1336">
        <v>56950000000</v>
      </c>
      <c r="G1336" s="1">
        <v>45564</v>
      </c>
      <c r="H1336" t="s">
        <v>13</v>
      </c>
      <c r="I1336" t="s">
        <v>14</v>
      </c>
    </row>
    <row r="1337" spans="1:9" x14ac:dyDescent="0.2">
      <c r="A1337">
        <v>320193</v>
      </c>
      <c r="B1337" t="s">
        <v>98</v>
      </c>
      <c r="C1337" t="s">
        <v>65</v>
      </c>
      <c r="D1337" t="s">
        <v>64</v>
      </c>
      <c r="E1337" t="s">
        <v>12</v>
      </c>
      <c r="F1337">
        <v>56950000000</v>
      </c>
      <c r="G1337" s="1">
        <v>45564</v>
      </c>
      <c r="H1337" t="s">
        <v>13</v>
      </c>
      <c r="I1337" t="s">
        <v>14</v>
      </c>
    </row>
    <row r="1338" spans="1:9" x14ac:dyDescent="0.2">
      <c r="A1338">
        <v>320193</v>
      </c>
      <c r="B1338" t="s">
        <v>98</v>
      </c>
      <c r="C1338" t="s">
        <v>65</v>
      </c>
      <c r="D1338" t="s">
        <v>64</v>
      </c>
      <c r="E1338" t="s">
        <v>12</v>
      </c>
      <c r="F1338">
        <v>56950000000</v>
      </c>
      <c r="G1338" s="1">
        <v>45564</v>
      </c>
      <c r="H1338" t="s">
        <v>13</v>
      </c>
      <c r="I1338" t="s">
        <v>14</v>
      </c>
    </row>
    <row r="1339" spans="1:9" x14ac:dyDescent="0.2">
      <c r="A1339">
        <v>320193</v>
      </c>
      <c r="B1339" t="s">
        <v>88</v>
      </c>
      <c r="C1339" t="s">
        <v>65</v>
      </c>
      <c r="D1339" t="s">
        <v>64</v>
      </c>
      <c r="E1339" t="s">
        <v>12</v>
      </c>
      <c r="F1339">
        <v>73733000000</v>
      </c>
      <c r="G1339" s="1">
        <v>45928</v>
      </c>
      <c r="H1339" t="s">
        <v>13</v>
      </c>
      <c r="I1339" t="s">
        <v>14</v>
      </c>
    </row>
    <row r="1340" spans="1:9" x14ac:dyDescent="0.2">
      <c r="A1340">
        <v>320193</v>
      </c>
      <c r="B1340" t="s">
        <v>88</v>
      </c>
      <c r="C1340" t="s">
        <v>65</v>
      </c>
      <c r="D1340" t="s">
        <v>64</v>
      </c>
      <c r="E1340" t="s">
        <v>12</v>
      </c>
      <c r="F1340">
        <v>73733000000</v>
      </c>
      <c r="G1340" s="1">
        <v>45928</v>
      </c>
      <c r="H1340" t="s">
        <v>13</v>
      </c>
      <c r="I1340" t="s">
        <v>14</v>
      </c>
    </row>
    <row r="1341" spans="1:9" x14ac:dyDescent="0.2">
      <c r="A1341">
        <v>320193</v>
      </c>
      <c r="B1341" t="s">
        <v>9</v>
      </c>
      <c r="C1341" t="s">
        <v>26</v>
      </c>
      <c r="D1341" t="s">
        <v>27</v>
      </c>
      <c r="E1341" t="s">
        <v>12</v>
      </c>
      <c r="F1341">
        <v>15738000000</v>
      </c>
      <c r="G1341" s="1">
        <v>43009</v>
      </c>
      <c r="H1341" t="s">
        <v>13</v>
      </c>
      <c r="I1341" t="s">
        <v>14</v>
      </c>
    </row>
    <row r="1342" spans="1:9" x14ac:dyDescent="0.2">
      <c r="A1342">
        <v>320193</v>
      </c>
      <c r="B1342" t="s">
        <v>9</v>
      </c>
      <c r="C1342" t="s">
        <v>26</v>
      </c>
      <c r="D1342" t="s">
        <v>27</v>
      </c>
      <c r="E1342" t="s">
        <v>12</v>
      </c>
      <c r="F1342">
        <v>15738000000</v>
      </c>
      <c r="G1342" s="1">
        <v>43009</v>
      </c>
      <c r="H1342" t="s">
        <v>13</v>
      </c>
      <c r="I1342" t="s">
        <v>14</v>
      </c>
    </row>
    <row r="1343" spans="1:9" x14ac:dyDescent="0.2">
      <c r="A1343">
        <v>320193</v>
      </c>
      <c r="B1343" t="s">
        <v>9</v>
      </c>
      <c r="C1343" t="s">
        <v>26</v>
      </c>
      <c r="D1343" t="s">
        <v>27</v>
      </c>
      <c r="E1343" t="s">
        <v>12</v>
      </c>
      <c r="F1343">
        <v>15738000000</v>
      </c>
      <c r="G1343" s="1">
        <v>43009</v>
      </c>
      <c r="H1343" t="s">
        <v>13</v>
      </c>
      <c r="I1343" t="s">
        <v>14</v>
      </c>
    </row>
    <row r="1344" spans="1:9" x14ac:dyDescent="0.2">
      <c r="A1344">
        <v>320193</v>
      </c>
      <c r="B1344" t="s">
        <v>9</v>
      </c>
      <c r="C1344" t="s">
        <v>26</v>
      </c>
      <c r="D1344" t="s">
        <v>27</v>
      </c>
      <c r="E1344" t="s">
        <v>12</v>
      </c>
      <c r="F1344">
        <v>13372000000</v>
      </c>
      <c r="G1344" s="1">
        <v>43373</v>
      </c>
      <c r="H1344" t="s">
        <v>13</v>
      </c>
      <c r="I1344" t="s">
        <v>14</v>
      </c>
    </row>
    <row r="1345" spans="1:9" x14ac:dyDescent="0.2">
      <c r="A1345">
        <v>320193</v>
      </c>
      <c r="B1345" t="s">
        <v>9</v>
      </c>
      <c r="C1345" t="s">
        <v>26</v>
      </c>
      <c r="D1345" t="s">
        <v>27</v>
      </c>
      <c r="E1345" t="s">
        <v>12</v>
      </c>
      <c r="F1345">
        <v>13372000000</v>
      </c>
      <c r="G1345" s="1">
        <v>43373</v>
      </c>
      <c r="H1345" t="s">
        <v>13</v>
      </c>
      <c r="I1345" t="s">
        <v>14</v>
      </c>
    </row>
    <row r="1346" spans="1:9" x14ac:dyDescent="0.2">
      <c r="A1346">
        <v>320193</v>
      </c>
      <c r="B1346" t="s">
        <v>9</v>
      </c>
      <c r="C1346" t="s">
        <v>26</v>
      </c>
      <c r="D1346" t="s">
        <v>27</v>
      </c>
      <c r="E1346" t="s">
        <v>12</v>
      </c>
      <c r="F1346">
        <v>13372000000</v>
      </c>
      <c r="G1346" s="1">
        <v>43373</v>
      </c>
      <c r="H1346" t="s">
        <v>13</v>
      </c>
      <c r="I1346" t="s">
        <v>14</v>
      </c>
    </row>
    <row r="1347" spans="1:9" x14ac:dyDescent="0.2">
      <c r="A1347">
        <v>320193</v>
      </c>
      <c r="B1347" t="s">
        <v>100</v>
      </c>
      <c r="C1347" t="s">
        <v>26</v>
      </c>
      <c r="D1347" t="s">
        <v>27</v>
      </c>
      <c r="E1347" t="s">
        <v>12</v>
      </c>
      <c r="F1347">
        <v>13372000000</v>
      </c>
      <c r="G1347" s="1">
        <v>43373</v>
      </c>
      <c r="H1347" t="s">
        <v>13</v>
      </c>
      <c r="I1347" t="s">
        <v>14</v>
      </c>
    </row>
    <row r="1348" spans="1:9" x14ac:dyDescent="0.2">
      <c r="A1348">
        <v>320193</v>
      </c>
      <c r="B1348" t="s">
        <v>100</v>
      </c>
      <c r="C1348" t="s">
        <v>26</v>
      </c>
      <c r="D1348" t="s">
        <v>27</v>
      </c>
      <c r="E1348" t="s">
        <v>12</v>
      </c>
      <c r="F1348">
        <v>13372000000</v>
      </c>
      <c r="G1348" s="1">
        <v>43373</v>
      </c>
      <c r="H1348" t="s">
        <v>13</v>
      </c>
      <c r="I1348" t="s">
        <v>14</v>
      </c>
    </row>
    <row r="1349" spans="1:9" x14ac:dyDescent="0.2">
      <c r="A1349">
        <v>320193</v>
      </c>
      <c r="B1349" t="s">
        <v>100</v>
      </c>
      <c r="C1349" t="s">
        <v>26</v>
      </c>
      <c r="D1349" t="s">
        <v>27</v>
      </c>
      <c r="E1349" t="s">
        <v>12</v>
      </c>
      <c r="F1349">
        <v>13372000000</v>
      </c>
      <c r="G1349" s="1">
        <v>43373</v>
      </c>
      <c r="H1349" t="s">
        <v>13</v>
      </c>
      <c r="I1349" t="s">
        <v>14</v>
      </c>
    </row>
    <row r="1350" spans="1:9" x14ac:dyDescent="0.2">
      <c r="A1350">
        <v>320193</v>
      </c>
      <c r="B1350" t="s">
        <v>9</v>
      </c>
      <c r="C1350" t="s">
        <v>26</v>
      </c>
      <c r="D1350" t="s">
        <v>27</v>
      </c>
      <c r="E1350" t="s">
        <v>12</v>
      </c>
      <c r="F1350">
        <v>10481000000</v>
      </c>
      <c r="G1350" s="1">
        <v>43737</v>
      </c>
      <c r="H1350" t="s">
        <v>13</v>
      </c>
      <c r="I1350" t="s">
        <v>14</v>
      </c>
    </row>
    <row r="1351" spans="1:9" x14ac:dyDescent="0.2">
      <c r="A1351">
        <v>320193</v>
      </c>
      <c r="B1351" t="s">
        <v>9</v>
      </c>
      <c r="C1351" t="s">
        <v>26</v>
      </c>
      <c r="D1351" t="s">
        <v>27</v>
      </c>
      <c r="E1351" t="s">
        <v>12</v>
      </c>
      <c r="F1351">
        <v>10481000000</v>
      </c>
      <c r="G1351" s="1">
        <v>43737</v>
      </c>
      <c r="H1351" t="s">
        <v>13</v>
      </c>
      <c r="I1351" t="s">
        <v>14</v>
      </c>
    </row>
    <row r="1352" spans="1:9" x14ac:dyDescent="0.2">
      <c r="A1352">
        <v>320193</v>
      </c>
      <c r="B1352" t="s">
        <v>9</v>
      </c>
      <c r="C1352" t="s">
        <v>26</v>
      </c>
      <c r="D1352" t="s">
        <v>27</v>
      </c>
      <c r="E1352" t="s">
        <v>12</v>
      </c>
      <c r="F1352">
        <v>10481000000</v>
      </c>
      <c r="G1352" s="1">
        <v>43737</v>
      </c>
      <c r="H1352" t="s">
        <v>13</v>
      </c>
      <c r="I1352" t="s">
        <v>14</v>
      </c>
    </row>
    <row r="1353" spans="1:9" x14ac:dyDescent="0.2">
      <c r="A1353">
        <v>320193</v>
      </c>
      <c r="B1353" t="s">
        <v>99</v>
      </c>
      <c r="C1353" t="s">
        <v>26</v>
      </c>
      <c r="D1353" t="s">
        <v>27</v>
      </c>
      <c r="E1353" t="s">
        <v>12</v>
      </c>
      <c r="F1353">
        <v>10481000000</v>
      </c>
      <c r="G1353" s="1">
        <v>43737</v>
      </c>
      <c r="H1353" t="s">
        <v>13</v>
      </c>
      <c r="I1353" t="s">
        <v>14</v>
      </c>
    </row>
    <row r="1354" spans="1:9" x14ac:dyDescent="0.2">
      <c r="A1354">
        <v>320193</v>
      </c>
      <c r="B1354" t="s">
        <v>99</v>
      </c>
      <c r="C1354" t="s">
        <v>26</v>
      </c>
      <c r="D1354" t="s">
        <v>27</v>
      </c>
      <c r="E1354" t="s">
        <v>12</v>
      </c>
      <c r="F1354">
        <v>10481000000</v>
      </c>
      <c r="G1354" s="1">
        <v>43737</v>
      </c>
      <c r="H1354" t="s">
        <v>13</v>
      </c>
      <c r="I1354" t="s">
        <v>14</v>
      </c>
    </row>
    <row r="1355" spans="1:9" x14ac:dyDescent="0.2">
      <c r="A1355">
        <v>320193</v>
      </c>
      <c r="B1355" t="s">
        <v>99</v>
      </c>
      <c r="C1355" t="s">
        <v>26</v>
      </c>
      <c r="D1355" t="s">
        <v>27</v>
      </c>
      <c r="E1355" t="s">
        <v>12</v>
      </c>
      <c r="F1355">
        <v>10481000000</v>
      </c>
      <c r="G1355" s="1">
        <v>43737</v>
      </c>
      <c r="H1355" t="s">
        <v>13</v>
      </c>
      <c r="I1355" t="s">
        <v>14</v>
      </c>
    </row>
    <row r="1356" spans="1:9" x14ac:dyDescent="0.2">
      <c r="A1356">
        <v>320193</v>
      </c>
      <c r="B1356" t="s">
        <v>100</v>
      </c>
      <c r="C1356" t="s">
        <v>26</v>
      </c>
      <c r="D1356" t="s">
        <v>27</v>
      </c>
      <c r="E1356" t="s">
        <v>12</v>
      </c>
      <c r="F1356">
        <v>10481000000</v>
      </c>
      <c r="G1356" s="1">
        <v>43737</v>
      </c>
      <c r="H1356" t="s">
        <v>13</v>
      </c>
      <c r="I1356" t="s">
        <v>14</v>
      </c>
    </row>
    <row r="1357" spans="1:9" x14ac:dyDescent="0.2">
      <c r="A1357">
        <v>320193</v>
      </c>
      <c r="B1357" t="s">
        <v>100</v>
      </c>
      <c r="C1357" t="s">
        <v>26</v>
      </c>
      <c r="D1357" t="s">
        <v>27</v>
      </c>
      <c r="E1357" t="s">
        <v>12</v>
      </c>
      <c r="F1357">
        <v>10481000000</v>
      </c>
      <c r="G1357" s="1">
        <v>43737</v>
      </c>
      <c r="H1357" t="s">
        <v>13</v>
      </c>
      <c r="I1357" t="s">
        <v>14</v>
      </c>
    </row>
    <row r="1358" spans="1:9" x14ac:dyDescent="0.2">
      <c r="A1358">
        <v>320193</v>
      </c>
      <c r="B1358" t="s">
        <v>100</v>
      </c>
      <c r="C1358" t="s">
        <v>26</v>
      </c>
      <c r="D1358" t="s">
        <v>27</v>
      </c>
      <c r="E1358" t="s">
        <v>12</v>
      </c>
      <c r="F1358">
        <v>10481000000</v>
      </c>
      <c r="G1358" s="1">
        <v>43737</v>
      </c>
      <c r="H1358" t="s">
        <v>13</v>
      </c>
      <c r="I1358" t="s">
        <v>14</v>
      </c>
    </row>
    <row r="1359" spans="1:9" x14ac:dyDescent="0.2">
      <c r="A1359">
        <v>320193</v>
      </c>
      <c r="B1359" t="s">
        <v>97</v>
      </c>
      <c r="C1359" t="s">
        <v>26</v>
      </c>
      <c r="D1359" t="s">
        <v>27</v>
      </c>
      <c r="E1359" t="s">
        <v>12</v>
      </c>
      <c r="F1359">
        <v>9680000000</v>
      </c>
      <c r="G1359" s="1">
        <v>44101</v>
      </c>
      <c r="H1359" t="s">
        <v>13</v>
      </c>
      <c r="I1359" t="s">
        <v>14</v>
      </c>
    </row>
    <row r="1360" spans="1:9" x14ac:dyDescent="0.2">
      <c r="A1360">
        <v>320193</v>
      </c>
      <c r="B1360" t="s">
        <v>97</v>
      </c>
      <c r="C1360" t="s">
        <v>26</v>
      </c>
      <c r="D1360" t="s">
        <v>27</v>
      </c>
      <c r="E1360" t="s">
        <v>12</v>
      </c>
      <c r="F1360">
        <v>9680000000</v>
      </c>
      <c r="G1360" s="1">
        <v>44101</v>
      </c>
      <c r="H1360" t="s">
        <v>13</v>
      </c>
      <c r="I1360" t="s">
        <v>14</v>
      </c>
    </row>
    <row r="1361" spans="1:9" x14ac:dyDescent="0.2">
      <c r="A1361">
        <v>320193</v>
      </c>
      <c r="B1361" t="s">
        <v>97</v>
      </c>
      <c r="C1361" t="s">
        <v>26</v>
      </c>
      <c r="D1361" t="s">
        <v>27</v>
      </c>
      <c r="E1361" t="s">
        <v>12</v>
      </c>
      <c r="F1361">
        <v>9680000000</v>
      </c>
      <c r="G1361" s="1">
        <v>44101</v>
      </c>
      <c r="H1361" t="s">
        <v>13</v>
      </c>
      <c r="I1361" t="s">
        <v>14</v>
      </c>
    </row>
    <row r="1362" spans="1:9" x14ac:dyDescent="0.2">
      <c r="A1362">
        <v>320193</v>
      </c>
      <c r="B1362" t="s">
        <v>99</v>
      </c>
      <c r="C1362" t="s">
        <v>26</v>
      </c>
      <c r="D1362" t="s">
        <v>27</v>
      </c>
      <c r="E1362" t="s">
        <v>12</v>
      </c>
      <c r="F1362">
        <v>9680000000</v>
      </c>
      <c r="G1362" s="1">
        <v>44101</v>
      </c>
      <c r="H1362" t="s">
        <v>13</v>
      </c>
      <c r="I1362" t="s">
        <v>14</v>
      </c>
    </row>
    <row r="1363" spans="1:9" x14ac:dyDescent="0.2">
      <c r="A1363">
        <v>320193</v>
      </c>
      <c r="B1363" t="s">
        <v>99</v>
      </c>
      <c r="C1363" t="s">
        <v>26</v>
      </c>
      <c r="D1363" t="s">
        <v>27</v>
      </c>
      <c r="E1363" t="s">
        <v>12</v>
      </c>
      <c r="F1363">
        <v>9680000000</v>
      </c>
      <c r="G1363" s="1">
        <v>44101</v>
      </c>
      <c r="H1363" t="s">
        <v>13</v>
      </c>
      <c r="I1363" t="s">
        <v>14</v>
      </c>
    </row>
    <row r="1364" spans="1:9" x14ac:dyDescent="0.2">
      <c r="A1364">
        <v>320193</v>
      </c>
      <c r="B1364" t="s">
        <v>99</v>
      </c>
      <c r="C1364" t="s">
        <v>26</v>
      </c>
      <c r="D1364" t="s">
        <v>27</v>
      </c>
      <c r="E1364" t="s">
        <v>12</v>
      </c>
      <c r="F1364">
        <v>9680000000</v>
      </c>
      <c r="G1364" s="1">
        <v>44101</v>
      </c>
      <c r="H1364" t="s">
        <v>13</v>
      </c>
      <c r="I1364" t="s">
        <v>14</v>
      </c>
    </row>
    <row r="1365" spans="1:9" x14ac:dyDescent="0.2">
      <c r="A1365">
        <v>320193</v>
      </c>
      <c r="B1365" t="s">
        <v>100</v>
      </c>
      <c r="C1365" t="s">
        <v>26</v>
      </c>
      <c r="D1365" t="s">
        <v>27</v>
      </c>
      <c r="E1365" t="s">
        <v>12</v>
      </c>
      <c r="F1365">
        <v>9680000000</v>
      </c>
      <c r="G1365" s="1">
        <v>44101</v>
      </c>
      <c r="H1365" t="s">
        <v>13</v>
      </c>
      <c r="I1365" t="s">
        <v>14</v>
      </c>
    </row>
    <row r="1366" spans="1:9" x14ac:dyDescent="0.2">
      <c r="A1366">
        <v>320193</v>
      </c>
      <c r="B1366" t="s">
        <v>100</v>
      </c>
      <c r="C1366" t="s">
        <v>26</v>
      </c>
      <c r="D1366" t="s">
        <v>27</v>
      </c>
      <c r="E1366" t="s">
        <v>12</v>
      </c>
      <c r="F1366">
        <v>9680000000</v>
      </c>
      <c r="G1366" s="1">
        <v>44101</v>
      </c>
      <c r="H1366" t="s">
        <v>13</v>
      </c>
      <c r="I1366" t="s">
        <v>14</v>
      </c>
    </row>
    <row r="1367" spans="1:9" x14ac:dyDescent="0.2">
      <c r="A1367">
        <v>320193</v>
      </c>
      <c r="B1367" t="s">
        <v>100</v>
      </c>
      <c r="C1367" t="s">
        <v>26</v>
      </c>
      <c r="D1367" t="s">
        <v>27</v>
      </c>
      <c r="E1367" t="s">
        <v>12</v>
      </c>
      <c r="F1367">
        <v>9680000000</v>
      </c>
      <c r="G1367" s="1">
        <v>44101</v>
      </c>
      <c r="H1367" t="s">
        <v>13</v>
      </c>
      <c r="I1367" t="s">
        <v>14</v>
      </c>
    </row>
    <row r="1368" spans="1:9" x14ac:dyDescent="0.2">
      <c r="A1368">
        <v>320193</v>
      </c>
      <c r="B1368" t="s">
        <v>97</v>
      </c>
      <c r="C1368" t="s">
        <v>26</v>
      </c>
      <c r="D1368" t="s">
        <v>27</v>
      </c>
      <c r="E1368" t="s">
        <v>12</v>
      </c>
      <c r="F1368">
        <v>14527000000</v>
      </c>
      <c r="G1368" s="1">
        <v>44465</v>
      </c>
      <c r="H1368" t="s">
        <v>13</v>
      </c>
      <c r="I1368" t="s">
        <v>14</v>
      </c>
    </row>
    <row r="1369" spans="1:9" x14ac:dyDescent="0.2">
      <c r="A1369">
        <v>320193</v>
      </c>
      <c r="B1369" t="s">
        <v>97</v>
      </c>
      <c r="C1369" t="s">
        <v>26</v>
      </c>
      <c r="D1369" t="s">
        <v>27</v>
      </c>
      <c r="E1369" t="s">
        <v>12</v>
      </c>
      <c r="F1369">
        <v>14527000000</v>
      </c>
      <c r="G1369" s="1">
        <v>44465</v>
      </c>
      <c r="H1369" t="s">
        <v>13</v>
      </c>
      <c r="I1369" t="s">
        <v>14</v>
      </c>
    </row>
    <row r="1370" spans="1:9" x14ac:dyDescent="0.2">
      <c r="A1370">
        <v>320193</v>
      </c>
      <c r="B1370" t="s">
        <v>97</v>
      </c>
      <c r="C1370" t="s">
        <v>26</v>
      </c>
      <c r="D1370" t="s">
        <v>27</v>
      </c>
      <c r="E1370" t="s">
        <v>12</v>
      </c>
      <c r="F1370">
        <v>14527000000</v>
      </c>
      <c r="G1370" s="1">
        <v>44465</v>
      </c>
      <c r="H1370" t="s">
        <v>13</v>
      </c>
      <c r="I1370" t="s">
        <v>14</v>
      </c>
    </row>
    <row r="1371" spans="1:9" x14ac:dyDescent="0.2">
      <c r="A1371">
        <v>320193</v>
      </c>
      <c r="B1371" t="s">
        <v>99</v>
      </c>
      <c r="C1371" t="s">
        <v>26</v>
      </c>
      <c r="D1371" t="s">
        <v>27</v>
      </c>
      <c r="E1371" t="s">
        <v>12</v>
      </c>
      <c r="F1371">
        <v>14527000000</v>
      </c>
      <c r="G1371" s="1">
        <v>44465</v>
      </c>
      <c r="H1371" t="s">
        <v>13</v>
      </c>
      <c r="I1371" t="s">
        <v>14</v>
      </c>
    </row>
    <row r="1372" spans="1:9" x14ac:dyDescent="0.2">
      <c r="A1372">
        <v>320193</v>
      </c>
      <c r="B1372" t="s">
        <v>99</v>
      </c>
      <c r="C1372" t="s">
        <v>26</v>
      </c>
      <c r="D1372" t="s">
        <v>27</v>
      </c>
      <c r="E1372" t="s">
        <v>12</v>
      </c>
      <c r="F1372">
        <v>14527000000</v>
      </c>
      <c r="G1372" s="1">
        <v>44465</v>
      </c>
      <c r="H1372" t="s">
        <v>13</v>
      </c>
      <c r="I1372" t="s">
        <v>14</v>
      </c>
    </row>
    <row r="1373" spans="1:9" x14ac:dyDescent="0.2">
      <c r="A1373">
        <v>320193</v>
      </c>
      <c r="B1373" t="s">
        <v>99</v>
      </c>
      <c r="C1373" t="s">
        <v>26</v>
      </c>
      <c r="D1373" t="s">
        <v>27</v>
      </c>
      <c r="E1373" t="s">
        <v>12</v>
      </c>
      <c r="F1373">
        <v>14527000000</v>
      </c>
      <c r="G1373" s="1">
        <v>44465</v>
      </c>
      <c r="H1373" t="s">
        <v>13</v>
      </c>
      <c r="I1373" t="s">
        <v>14</v>
      </c>
    </row>
    <row r="1374" spans="1:9" x14ac:dyDescent="0.2">
      <c r="A1374">
        <v>320193</v>
      </c>
      <c r="B1374" t="s">
        <v>101</v>
      </c>
      <c r="C1374" t="s">
        <v>26</v>
      </c>
      <c r="D1374" t="s">
        <v>27</v>
      </c>
      <c r="E1374" t="s">
        <v>12</v>
      </c>
      <c r="F1374">
        <v>14527000000</v>
      </c>
      <c r="G1374" s="1">
        <v>44465</v>
      </c>
      <c r="H1374" t="s">
        <v>13</v>
      </c>
      <c r="I1374" t="s">
        <v>14</v>
      </c>
    </row>
    <row r="1375" spans="1:9" x14ac:dyDescent="0.2">
      <c r="A1375">
        <v>320193</v>
      </c>
      <c r="B1375" t="s">
        <v>101</v>
      </c>
      <c r="C1375" t="s">
        <v>26</v>
      </c>
      <c r="D1375" t="s">
        <v>27</v>
      </c>
      <c r="E1375" t="s">
        <v>12</v>
      </c>
      <c r="F1375">
        <v>14527000000</v>
      </c>
      <c r="G1375" s="1">
        <v>44465</v>
      </c>
      <c r="H1375" t="s">
        <v>13</v>
      </c>
      <c r="I1375" t="s">
        <v>14</v>
      </c>
    </row>
    <row r="1376" spans="1:9" x14ac:dyDescent="0.2">
      <c r="A1376">
        <v>320193</v>
      </c>
      <c r="B1376" t="s">
        <v>101</v>
      </c>
      <c r="C1376" t="s">
        <v>26</v>
      </c>
      <c r="D1376" t="s">
        <v>27</v>
      </c>
      <c r="E1376" t="s">
        <v>12</v>
      </c>
      <c r="F1376">
        <v>14527000000</v>
      </c>
      <c r="G1376" s="1">
        <v>44465</v>
      </c>
      <c r="H1376" t="s">
        <v>13</v>
      </c>
      <c r="I1376" t="s">
        <v>14</v>
      </c>
    </row>
    <row r="1377" spans="1:9" x14ac:dyDescent="0.2">
      <c r="A1377">
        <v>320193</v>
      </c>
      <c r="B1377" t="s">
        <v>97</v>
      </c>
      <c r="C1377" t="s">
        <v>26</v>
      </c>
      <c r="D1377" t="s">
        <v>27</v>
      </c>
      <c r="E1377" t="s">
        <v>12</v>
      </c>
      <c r="F1377">
        <v>19300000000</v>
      </c>
      <c r="G1377" s="1">
        <v>44829</v>
      </c>
      <c r="H1377" t="s">
        <v>13</v>
      </c>
      <c r="I1377" t="s">
        <v>14</v>
      </c>
    </row>
    <row r="1378" spans="1:9" x14ac:dyDescent="0.2">
      <c r="A1378">
        <v>320193</v>
      </c>
      <c r="B1378" t="s">
        <v>97</v>
      </c>
      <c r="C1378" t="s">
        <v>26</v>
      </c>
      <c r="D1378" t="s">
        <v>27</v>
      </c>
      <c r="E1378" t="s">
        <v>12</v>
      </c>
      <c r="F1378">
        <v>19300000000</v>
      </c>
      <c r="G1378" s="1">
        <v>44829</v>
      </c>
      <c r="H1378" t="s">
        <v>13</v>
      </c>
      <c r="I1378" t="s">
        <v>14</v>
      </c>
    </row>
    <row r="1379" spans="1:9" x14ac:dyDescent="0.2">
      <c r="A1379">
        <v>320193</v>
      </c>
      <c r="B1379" t="s">
        <v>97</v>
      </c>
      <c r="C1379" t="s">
        <v>26</v>
      </c>
      <c r="D1379" t="s">
        <v>27</v>
      </c>
      <c r="E1379" t="s">
        <v>12</v>
      </c>
      <c r="F1379">
        <v>19300000000</v>
      </c>
      <c r="G1379" s="1">
        <v>44829</v>
      </c>
      <c r="H1379" t="s">
        <v>13</v>
      </c>
      <c r="I1379" t="s">
        <v>14</v>
      </c>
    </row>
    <row r="1380" spans="1:9" x14ac:dyDescent="0.2">
      <c r="A1380">
        <v>320193</v>
      </c>
      <c r="B1380" t="s">
        <v>98</v>
      </c>
      <c r="C1380" t="s">
        <v>26</v>
      </c>
      <c r="D1380" t="s">
        <v>27</v>
      </c>
      <c r="E1380" t="s">
        <v>12</v>
      </c>
      <c r="F1380">
        <v>19300000000</v>
      </c>
      <c r="G1380" s="1">
        <v>44829</v>
      </c>
      <c r="H1380" t="s">
        <v>13</v>
      </c>
      <c r="I1380" t="s">
        <v>14</v>
      </c>
    </row>
    <row r="1381" spans="1:9" x14ac:dyDescent="0.2">
      <c r="A1381">
        <v>320193</v>
      </c>
      <c r="B1381" t="s">
        <v>98</v>
      </c>
      <c r="C1381" t="s">
        <v>26</v>
      </c>
      <c r="D1381" t="s">
        <v>27</v>
      </c>
      <c r="E1381" t="s">
        <v>12</v>
      </c>
      <c r="F1381">
        <v>19300000000</v>
      </c>
      <c r="G1381" s="1">
        <v>44829</v>
      </c>
      <c r="H1381" t="s">
        <v>13</v>
      </c>
      <c r="I1381" t="s">
        <v>14</v>
      </c>
    </row>
    <row r="1382" spans="1:9" x14ac:dyDescent="0.2">
      <c r="A1382">
        <v>320193</v>
      </c>
      <c r="B1382" t="s">
        <v>98</v>
      </c>
      <c r="C1382" t="s">
        <v>26</v>
      </c>
      <c r="D1382" t="s">
        <v>27</v>
      </c>
      <c r="E1382" t="s">
        <v>12</v>
      </c>
      <c r="F1382">
        <v>19300000000</v>
      </c>
      <c r="G1382" s="1">
        <v>44829</v>
      </c>
      <c r="H1382" t="s">
        <v>13</v>
      </c>
      <c r="I1382" t="s">
        <v>14</v>
      </c>
    </row>
    <row r="1383" spans="1:9" x14ac:dyDescent="0.2">
      <c r="A1383">
        <v>320193</v>
      </c>
      <c r="B1383" t="s">
        <v>101</v>
      </c>
      <c r="C1383" t="s">
        <v>26</v>
      </c>
      <c r="D1383" t="s">
        <v>27</v>
      </c>
      <c r="E1383" t="s">
        <v>12</v>
      </c>
      <c r="F1383">
        <v>19300000000</v>
      </c>
      <c r="G1383" s="1">
        <v>44829</v>
      </c>
      <c r="H1383" t="s">
        <v>13</v>
      </c>
      <c r="I1383" t="s">
        <v>14</v>
      </c>
    </row>
    <row r="1384" spans="1:9" x14ac:dyDescent="0.2">
      <c r="A1384">
        <v>320193</v>
      </c>
      <c r="B1384" t="s">
        <v>101</v>
      </c>
      <c r="C1384" t="s">
        <v>26</v>
      </c>
      <c r="D1384" t="s">
        <v>27</v>
      </c>
      <c r="E1384" t="s">
        <v>12</v>
      </c>
      <c r="F1384">
        <v>19300000000</v>
      </c>
      <c r="G1384" s="1">
        <v>44829</v>
      </c>
      <c r="H1384" t="s">
        <v>13</v>
      </c>
      <c r="I1384" t="s">
        <v>14</v>
      </c>
    </row>
    <row r="1385" spans="1:9" x14ac:dyDescent="0.2">
      <c r="A1385">
        <v>320193</v>
      </c>
      <c r="B1385" t="s">
        <v>101</v>
      </c>
      <c r="C1385" t="s">
        <v>26</v>
      </c>
      <c r="D1385" t="s">
        <v>27</v>
      </c>
      <c r="E1385" t="s">
        <v>12</v>
      </c>
      <c r="F1385">
        <v>19300000000</v>
      </c>
      <c r="G1385" s="1">
        <v>44829</v>
      </c>
      <c r="H1385" t="s">
        <v>13</v>
      </c>
      <c r="I1385" t="s">
        <v>14</v>
      </c>
    </row>
    <row r="1386" spans="1:9" x14ac:dyDescent="0.2">
      <c r="A1386">
        <v>320193</v>
      </c>
      <c r="B1386" t="s">
        <v>88</v>
      </c>
      <c r="C1386" t="s">
        <v>26</v>
      </c>
      <c r="D1386" t="s">
        <v>27</v>
      </c>
      <c r="E1386" t="s">
        <v>12</v>
      </c>
      <c r="F1386">
        <v>16741000000</v>
      </c>
      <c r="G1386" s="1">
        <v>45200</v>
      </c>
      <c r="H1386" t="s">
        <v>13</v>
      </c>
      <c r="I1386" t="s">
        <v>14</v>
      </c>
    </row>
    <row r="1387" spans="1:9" x14ac:dyDescent="0.2">
      <c r="A1387">
        <v>320193</v>
      </c>
      <c r="B1387" t="s">
        <v>88</v>
      </c>
      <c r="C1387" t="s">
        <v>26</v>
      </c>
      <c r="D1387" t="s">
        <v>27</v>
      </c>
      <c r="E1387" t="s">
        <v>12</v>
      </c>
      <c r="F1387">
        <v>16741000000</v>
      </c>
      <c r="G1387" s="1">
        <v>45200</v>
      </c>
      <c r="H1387" t="s">
        <v>13</v>
      </c>
      <c r="I1387" t="s">
        <v>14</v>
      </c>
    </row>
    <row r="1388" spans="1:9" x14ac:dyDescent="0.2">
      <c r="A1388">
        <v>320193</v>
      </c>
      <c r="B1388" t="s">
        <v>88</v>
      </c>
      <c r="C1388" t="s">
        <v>26</v>
      </c>
      <c r="D1388" t="s">
        <v>27</v>
      </c>
      <c r="E1388" t="s">
        <v>12</v>
      </c>
      <c r="F1388">
        <v>16741000000</v>
      </c>
      <c r="G1388" s="1">
        <v>45200</v>
      </c>
      <c r="H1388" t="s">
        <v>13</v>
      </c>
      <c r="I1388" t="s">
        <v>14</v>
      </c>
    </row>
    <row r="1389" spans="1:9" x14ac:dyDescent="0.2">
      <c r="A1389">
        <v>320193</v>
      </c>
      <c r="B1389" t="s">
        <v>98</v>
      </c>
      <c r="C1389" t="s">
        <v>26</v>
      </c>
      <c r="D1389" t="s">
        <v>27</v>
      </c>
      <c r="E1389" t="s">
        <v>12</v>
      </c>
      <c r="F1389">
        <v>16741000000</v>
      </c>
      <c r="G1389" s="1">
        <v>45200</v>
      </c>
      <c r="H1389" t="s">
        <v>13</v>
      </c>
      <c r="I1389" t="s">
        <v>14</v>
      </c>
    </row>
    <row r="1390" spans="1:9" x14ac:dyDescent="0.2">
      <c r="A1390">
        <v>320193</v>
      </c>
      <c r="B1390" t="s">
        <v>98</v>
      </c>
      <c r="C1390" t="s">
        <v>26</v>
      </c>
      <c r="D1390" t="s">
        <v>27</v>
      </c>
      <c r="E1390" t="s">
        <v>12</v>
      </c>
      <c r="F1390">
        <v>16741000000</v>
      </c>
      <c r="G1390" s="1">
        <v>45200</v>
      </c>
      <c r="H1390" t="s">
        <v>13</v>
      </c>
      <c r="I1390" t="s">
        <v>14</v>
      </c>
    </row>
    <row r="1391" spans="1:9" x14ac:dyDescent="0.2">
      <c r="A1391">
        <v>320193</v>
      </c>
      <c r="B1391" t="s">
        <v>98</v>
      </c>
      <c r="C1391" t="s">
        <v>26</v>
      </c>
      <c r="D1391" t="s">
        <v>27</v>
      </c>
      <c r="E1391" t="s">
        <v>12</v>
      </c>
      <c r="F1391">
        <v>16741000000</v>
      </c>
      <c r="G1391" s="1">
        <v>45200</v>
      </c>
      <c r="H1391" t="s">
        <v>13</v>
      </c>
      <c r="I1391" t="s">
        <v>14</v>
      </c>
    </row>
    <row r="1392" spans="1:9" x14ac:dyDescent="0.2">
      <c r="A1392">
        <v>320193</v>
      </c>
      <c r="B1392" t="s">
        <v>101</v>
      </c>
      <c r="C1392" t="s">
        <v>26</v>
      </c>
      <c r="D1392" t="s">
        <v>27</v>
      </c>
      <c r="E1392" t="s">
        <v>12</v>
      </c>
      <c r="F1392">
        <v>16741000000</v>
      </c>
      <c r="G1392" s="1">
        <v>45200</v>
      </c>
      <c r="H1392" t="s">
        <v>13</v>
      </c>
      <c r="I1392" t="s">
        <v>14</v>
      </c>
    </row>
    <row r="1393" spans="1:9" x14ac:dyDescent="0.2">
      <c r="A1393">
        <v>320193</v>
      </c>
      <c r="B1393" t="s">
        <v>101</v>
      </c>
      <c r="C1393" t="s">
        <v>26</v>
      </c>
      <c r="D1393" t="s">
        <v>27</v>
      </c>
      <c r="E1393" t="s">
        <v>12</v>
      </c>
      <c r="F1393">
        <v>16741000000</v>
      </c>
      <c r="G1393" s="1">
        <v>45200</v>
      </c>
      <c r="H1393" t="s">
        <v>13</v>
      </c>
      <c r="I1393" t="s">
        <v>14</v>
      </c>
    </row>
    <row r="1394" spans="1:9" x14ac:dyDescent="0.2">
      <c r="A1394">
        <v>320193</v>
      </c>
      <c r="B1394" t="s">
        <v>101</v>
      </c>
      <c r="C1394" t="s">
        <v>26</v>
      </c>
      <c r="D1394" t="s">
        <v>27</v>
      </c>
      <c r="E1394" t="s">
        <v>12</v>
      </c>
      <c r="F1394">
        <v>16741000000</v>
      </c>
      <c r="G1394" s="1">
        <v>45200</v>
      </c>
      <c r="H1394" t="s">
        <v>13</v>
      </c>
      <c r="I1394" t="s">
        <v>14</v>
      </c>
    </row>
    <row r="1395" spans="1:9" x14ac:dyDescent="0.2">
      <c r="A1395">
        <v>320193</v>
      </c>
      <c r="B1395" t="s">
        <v>88</v>
      </c>
      <c r="C1395" t="s">
        <v>26</v>
      </c>
      <c r="D1395" t="s">
        <v>27</v>
      </c>
      <c r="E1395" t="s">
        <v>12</v>
      </c>
      <c r="F1395">
        <v>29749000000</v>
      </c>
      <c r="G1395" s="1">
        <v>45564</v>
      </c>
      <c r="H1395" t="s">
        <v>13</v>
      </c>
      <c r="I1395" t="s">
        <v>14</v>
      </c>
    </row>
    <row r="1396" spans="1:9" x14ac:dyDescent="0.2">
      <c r="A1396">
        <v>320193</v>
      </c>
      <c r="B1396" t="s">
        <v>88</v>
      </c>
      <c r="C1396" t="s">
        <v>26</v>
      </c>
      <c r="D1396" t="s">
        <v>27</v>
      </c>
      <c r="E1396" t="s">
        <v>12</v>
      </c>
      <c r="F1396">
        <v>29749000000</v>
      </c>
      <c r="G1396" s="1">
        <v>45564</v>
      </c>
      <c r="H1396" t="s">
        <v>13</v>
      </c>
      <c r="I1396" t="s">
        <v>14</v>
      </c>
    </row>
    <row r="1397" spans="1:9" x14ac:dyDescent="0.2">
      <c r="A1397">
        <v>320193</v>
      </c>
      <c r="B1397" t="s">
        <v>88</v>
      </c>
      <c r="C1397" t="s">
        <v>26</v>
      </c>
      <c r="D1397" t="s">
        <v>27</v>
      </c>
      <c r="E1397" t="s">
        <v>12</v>
      </c>
      <c r="F1397">
        <v>29749000000</v>
      </c>
      <c r="G1397" s="1">
        <v>45564</v>
      </c>
      <c r="H1397" t="s">
        <v>13</v>
      </c>
      <c r="I1397" t="s">
        <v>14</v>
      </c>
    </row>
    <row r="1398" spans="1:9" x14ac:dyDescent="0.2">
      <c r="A1398">
        <v>320193</v>
      </c>
      <c r="B1398" t="s">
        <v>98</v>
      </c>
      <c r="C1398" t="s">
        <v>26</v>
      </c>
      <c r="D1398" t="s">
        <v>27</v>
      </c>
      <c r="E1398" t="s">
        <v>12</v>
      </c>
      <c r="F1398">
        <v>29749000000</v>
      </c>
      <c r="G1398" s="1">
        <v>45564</v>
      </c>
      <c r="H1398" t="s">
        <v>13</v>
      </c>
      <c r="I1398" t="s">
        <v>14</v>
      </c>
    </row>
    <row r="1399" spans="1:9" x14ac:dyDescent="0.2">
      <c r="A1399">
        <v>320193</v>
      </c>
      <c r="B1399" t="s">
        <v>98</v>
      </c>
      <c r="C1399" t="s">
        <v>26</v>
      </c>
      <c r="D1399" t="s">
        <v>27</v>
      </c>
      <c r="E1399" t="s">
        <v>12</v>
      </c>
      <c r="F1399">
        <v>29749000000</v>
      </c>
      <c r="G1399" s="1">
        <v>45564</v>
      </c>
      <c r="H1399" t="s">
        <v>13</v>
      </c>
      <c r="I1399" t="s">
        <v>14</v>
      </c>
    </row>
    <row r="1400" spans="1:9" x14ac:dyDescent="0.2">
      <c r="A1400">
        <v>320193</v>
      </c>
      <c r="B1400" t="s">
        <v>98</v>
      </c>
      <c r="C1400" t="s">
        <v>26</v>
      </c>
      <c r="D1400" t="s">
        <v>27</v>
      </c>
      <c r="E1400" t="s">
        <v>12</v>
      </c>
      <c r="F1400">
        <v>29749000000</v>
      </c>
      <c r="G1400" s="1">
        <v>45564</v>
      </c>
      <c r="H1400" t="s">
        <v>13</v>
      </c>
      <c r="I1400" t="s">
        <v>14</v>
      </c>
    </row>
    <row r="1401" spans="1:9" x14ac:dyDescent="0.2">
      <c r="A1401">
        <v>320193</v>
      </c>
      <c r="B1401" t="s">
        <v>88</v>
      </c>
      <c r="C1401" t="s">
        <v>26</v>
      </c>
      <c r="D1401" t="s">
        <v>27</v>
      </c>
      <c r="E1401" t="s">
        <v>12</v>
      </c>
      <c r="F1401">
        <v>20719000000</v>
      </c>
      <c r="G1401" s="1">
        <v>45928</v>
      </c>
      <c r="H1401" t="s">
        <v>13</v>
      </c>
      <c r="I1401" t="s">
        <v>14</v>
      </c>
    </row>
    <row r="1402" spans="1:9" x14ac:dyDescent="0.2">
      <c r="A1402">
        <v>320193</v>
      </c>
      <c r="B1402" t="s">
        <v>88</v>
      </c>
      <c r="C1402" t="s">
        <v>26</v>
      </c>
      <c r="D1402" t="s">
        <v>27</v>
      </c>
      <c r="E1402" t="s">
        <v>12</v>
      </c>
      <c r="F1402">
        <v>20719000000</v>
      </c>
      <c r="G1402" s="1">
        <v>45928</v>
      </c>
      <c r="H1402" t="s">
        <v>13</v>
      </c>
      <c r="I1402" t="s">
        <v>14</v>
      </c>
    </row>
    <row r="1403" spans="1:9" x14ac:dyDescent="0.2">
      <c r="A1403">
        <v>320193</v>
      </c>
      <c r="B1403" t="s">
        <v>88</v>
      </c>
      <c r="C1403" t="s">
        <v>26</v>
      </c>
      <c r="D1403" t="s">
        <v>27</v>
      </c>
      <c r="E1403" t="s">
        <v>12</v>
      </c>
      <c r="F1403">
        <v>20719000000</v>
      </c>
      <c r="G1403" s="1">
        <v>45928</v>
      </c>
      <c r="H1403" t="s">
        <v>13</v>
      </c>
      <c r="I1403" t="s">
        <v>14</v>
      </c>
    </row>
    <row r="1404" spans="1:9" x14ac:dyDescent="0.2">
      <c r="A1404">
        <v>320193</v>
      </c>
      <c r="B1404" t="s">
        <v>9</v>
      </c>
      <c r="C1404" t="s">
        <v>47</v>
      </c>
      <c r="D1404" t="s">
        <v>48</v>
      </c>
      <c r="E1404" t="s">
        <v>12</v>
      </c>
      <c r="F1404">
        <v>365725000000</v>
      </c>
      <c r="G1404" s="1">
        <v>43373</v>
      </c>
      <c r="H1404" t="s">
        <v>13</v>
      </c>
      <c r="I1404" t="s">
        <v>14</v>
      </c>
    </row>
    <row r="1405" spans="1:9" x14ac:dyDescent="0.2">
      <c r="A1405">
        <v>320193</v>
      </c>
      <c r="B1405" t="s">
        <v>9</v>
      </c>
      <c r="C1405" t="s">
        <v>47</v>
      </c>
      <c r="D1405" t="s">
        <v>48</v>
      </c>
      <c r="E1405" t="s">
        <v>12</v>
      </c>
      <c r="F1405">
        <v>338516000000</v>
      </c>
      <c r="G1405" s="1">
        <v>43737</v>
      </c>
      <c r="H1405" t="s">
        <v>13</v>
      </c>
      <c r="I1405" t="s">
        <v>14</v>
      </c>
    </row>
    <row r="1406" spans="1:9" x14ac:dyDescent="0.2">
      <c r="A1406">
        <v>320193</v>
      </c>
      <c r="B1406" t="s">
        <v>100</v>
      </c>
      <c r="C1406" t="s">
        <v>47</v>
      </c>
      <c r="D1406" t="s">
        <v>48</v>
      </c>
      <c r="E1406" t="s">
        <v>12</v>
      </c>
      <c r="F1406">
        <v>338516000000</v>
      </c>
      <c r="G1406" s="1">
        <v>43737</v>
      </c>
      <c r="H1406" t="s">
        <v>13</v>
      </c>
      <c r="I1406" t="s">
        <v>14</v>
      </c>
    </row>
    <row r="1407" spans="1:9" x14ac:dyDescent="0.2">
      <c r="A1407">
        <v>320193</v>
      </c>
      <c r="B1407" t="s">
        <v>99</v>
      </c>
      <c r="C1407" t="s">
        <v>47</v>
      </c>
      <c r="D1407" t="s">
        <v>48</v>
      </c>
      <c r="E1407" t="s">
        <v>12</v>
      </c>
      <c r="F1407">
        <v>323888000000</v>
      </c>
      <c r="G1407" s="1">
        <v>44101</v>
      </c>
      <c r="H1407" t="s">
        <v>13</v>
      </c>
      <c r="I1407" t="s">
        <v>14</v>
      </c>
    </row>
    <row r="1408" spans="1:9" x14ac:dyDescent="0.2">
      <c r="A1408">
        <v>320193</v>
      </c>
      <c r="B1408" t="s">
        <v>100</v>
      </c>
      <c r="C1408" t="s">
        <v>47</v>
      </c>
      <c r="D1408" t="s">
        <v>48</v>
      </c>
      <c r="E1408" t="s">
        <v>12</v>
      </c>
      <c r="F1408">
        <v>323888000000</v>
      </c>
      <c r="G1408" s="1">
        <v>44101</v>
      </c>
      <c r="H1408" t="s">
        <v>13</v>
      </c>
      <c r="I1408" t="s">
        <v>14</v>
      </c>
    </row>
    <row r="1409" spans="1:9" x14ac:dyDescent="0.2">
      <c r="A1409">
        <v>320193</v>
      </c>
      <c r="B1409" t="s">
        <v>97</v>
      </c>
      <c r="C1409" t="s">
        <v>47</v>
      </c>
      <c r="D1409" t="s">
        <v>48</v>
      </c>
      <c r="E1409" t="s">
        <v>12</v>
      </c>
      <c r="F1409">
        <v>351002000000</v>
      </c>
      <c r="G1409" s="1">
        <v>44465</v>
      </c>
      <c r="H1409" t="s">
        <v>13</v>
      </c>
      <c r="I1409" t="s">
        <v>14</v>
      </c>
    </row>
    <row r="1410" spans="1:9" x14ac:dyDescent="0.2">
      <c r="A1410">
        <v>320193</v>
      </c>
      <c r="B1410" t="s">
        <v>99</v>
      </c>
      <c r="C1410" t="s">
        <v>47</v>
      </c>
      <c r="D1410" t="s">
        <v>48</v>
      </c>
      <c r="E1410" t="s">
        <v>12</v>
      </c>
      <c r="F1410">
        <v>351002000000</v>
      </c>
      <c r="G1410" s="1">
        <v>44465</v>
      </c>
      <c r="H1410" t="s">
        <v>13</v>
      </c>
      <c r="I1410" t="s">
        <v>14</v>
      </c>
    </row>
    <row r="1411" spans="1:9" x14ac:dyDescent="0.2">
      <c r="A1411">
        <v>320193</v>
      </c>
      <c r="B1411" t="s">
        <v>97</v>
      </c>
      <c r="C1411" t="s">
        <v>47</v>
      </c>
      <c r="D1411" t="s">
        <v>48</v>
      </c>
      <c r="E1411" t="s">
        <v>12</v>
      </c>
      <c r="F1411">
        <v>352755000000</v>
      </c>
      <c r="G1411" s="1">
        <v>44829</v>
      </c>
      <c r="H1411" t="s">
        <v>13</v>
      </c>
      <c r="I1411" t="s">
        <v>14</v>
      </c>
    </row>
    <row r="1412" spans="1:9" x14ac:dyDescent="0.2">
      <c r="A1412">
        <v>320193</v>
      </c>
      <c r="B1412" t="s">
        <v>101</v>
      </c>
      <c r="C1412" t="s">
        <v>47</v>
      </c>
      <c r="D1412" t="s">
        <v>48</v>
      </c>
      <c r="E1412" t="s">
        <v>12</v>
      </c>
      <c r="F1412">
        <v>352755000000</v>
      </c>
      <c r="G1412" s="1">
        <v>44829</v>
      </c>
      <c r="H1412" t="s">
        <v>13</v>
      </c>
      <c r="I1412" t="s">
        <v>14</v>
      </c>
    </row>
    <row r="1413" spans="1:9" x14ac:dyDescent="0.2">
      <c r="A1413">
        <v>320193</v>
      </c>
      <c r="B1413" t="s">
        <v>98</v>
      </c>
      <c r="C1413" t="s">
        <v>47</v>
      </c>
      <c r="D1413" t="s">
        <v>48</v>
      </c>
      <c r="E1413" t="s">
        <v>12</v>
      </c>
      <c r="F1413">
        <v>352583000000</v>
      </c>
      <c r="G1413" s="1">
        <v>45200</v>
      </c>
      <c r="H1413" t="s">
        <v>13</v>
      </c>
      <c r="I1413" t="s">
        <v>14</v>
      </c>
    </row>
    <row r="1414" spans="1:9" x14ac:dyDescent="0.2">
      <c r="A1414">
        <v>320193</v>
      </c>
      <c r="B1414" t="s">
        <v>101</v>
      </c>
      <c r="C1414" t="s">
        <v>47</v>
      </c>
      <c r="D1414" t="s">
        <v>48</v>
      </c>
      <c r="E1414" t="s">
        <v>12</v>
      </c>
      <c r="F1414">
        <v>352583000000</v>
      </c>
      <c r="G1414" s="1">
        <v>45200</v>
      </c>
      <c r="H1414" t="s">
        <v>13</v>
      </c>
      <c r="I1414" t="s">
        <v>14</v>
      </c>
    </row>
    <row r="1415" spans="1:9" x14ac:dyDescent="0.2">
      <c r="A1415">
        <v>320193</v>
      </c>
      <c r="B1415" t="s">
        <v>88</v>
      </c>
      <c r="C1415" t="s">
        <v>47</v>
      </c>
      <c r="D1415" t="s">
        <v>48</v>
      </c>
      <c r="E1415" t="s">
        <v>12</v>
      </c>
      <c r="F1415">
        <v>364980000000</v>
      </c>
      <c r="G1415" s="1">
        <v>45564</v>
      </c>
      <c r="H1415" t="s">
        <v>13</v>
      </c>
      <c r="I1415" t="s">
        <v>14</v>
      </c>
    </row>
    <row r="1416" spans="1:9" x14ac:dyDescent="0.2">
      <c r="A1416">
        <v>320193</v>
      </c>
      <c r="B1416" t="s">
        <v>98</v>
      </c>
      <c r="C1416" t="s">
        <v>47</v>
      </c>
      <c r="D1416" t="s">
        <v>48</v>
      </c>
      <c r="E1416" t="s">
        <v>12</v>
      </c>
      <c r="F1416">
        <v>364980000000</v>
      </c>
      <c r="G1416" s="1">
        <v>45564</v>
      </c>
      <c r="H1416" t="s">
        <v>13</v>
      </c>
      <c r="I1416" t="s">
        <v>14</v>
      </c>
    </row>
    <row r="1417" spans="1:9" x14ac:dyDescent="0.2">
      <c r="A1417">
        <v>320193</v>
      </c>
      <c r="B1417" t="s">
        <v>88</v>
      </c>
      <c r="C1417" t="s">
        <v>47</v>
      </c>
      <c r="D1417" t="s">
        <v>48</v>
      </c>
      <c r="E1417" t="s">
        <v>12</v>
      </c>
      <c r="F1417">
        <v>359241000000</v>
      </c>
      <c r="G1417" s="1">
        <v>45928</v>
      </c>
      <c r="H1417" t="s">
        <v>13</v>
      </c>
      <c r="I1417" t="s">
        <v>14</v>
      </c>
    </row>
    <row r="1418" spans="1:9" x14ac:dyDescent="0.2">
      <c r="A1418">
        <v>320193</v>
      </c>
      <c r="B1418" t="s">
        <v>9</v>
      </c>
      <c r="C1418" t="s">
        <v>61</v>
      </c>
      <c r="D1418" t="s">
        <v>62</v>
      </c>
      <c r="E1418" t="s">
        <v>12</v>
      </c>
      <c r="F1418">
        <v>258578000000</v>
      </c>
      <c r="G1418" s="1">
        <v>43373</v>
      </c>
      <c r="H1418" t="s">
        <v>13</v>
      </c>
      <c r="I1418" t="s">
        <v>14</v>
      </c>
    </row>
    <row r="1419" spans="1:9" x14ac:dyDescent="0.2">
      <c r="A1419">
        <v>320193</v>
      </c>
      <c r="B1419" t="s">
        <v>9</v>
      </c>
      <c r="C1419" t="s">
        <v>61</v>
      </c>
      <c r="D1419" t="s">
        <v>62</v>
      </c>
      <c r="E1419" t="s">
        <v>12</v>
      </c>
      <c r="F1419">
        <v>248028000000</v>
      </c>
      <c r="G1419" s="1">
        <v>43737</v>
      </c>
      <c r="H1419" t="s">
        <v>13</v>
      </c>
      <c r="I1419" t="s">
        <v>14</v>
      </c>
    </row>
    <row r="1420" spans="1:9" x14ac:dyDescent="0.2">
      <c r="A1420">
        <v>320193</v>
      </c>
      <c r="B1420" t="s">
        <v>100</v>
      </c>
      <c r="C1420" t="s">
        <v>61</v>
      </c>
      <c r="D1420" t="s">
        <v>62</v>
      </c>
      <c r="E1420" t="s">
        <v>12</v>
      </c>
      <c r="F1420">
        <v>248028000000</v>
      </c>
      <c r="G1420" s="1">
        <v>43737</v>
      </c>
      <c r="H1420" t="s">
        <v>13</v>
      </c>
      <c r="I1420" t="s">
        <v>14</v>
      </c>
    </row>
    <row r="1421" spans="1:9" x14ac:dyDescent="0.2">
      <c r="A1421">
        <v>320193</v>
      </c>
      <c r="B1421" t="s">
        <v>99</v>
      </c>
      <c r="C1421" t="s">
        <v>61</v>
      </c>
      <c r="D1421" t="s">
        <v>62</v>
      </c>
      <c r="E1421" t="s">
        <v>12</v>
      </c>
      <c r="F1421">
        <v>258549000000</v>
      </c>
      <c r="G1421" s="1">
        <v>44101</v>
      </c>
      <c r="H1421" t="s">
        <v>13</v>
      </c>
      <c r="I1421" t="s">
        <v>14</v>
      </c>
    </row>
    <row r="1422" spans="1:9" x14ac:dyDescent="0.2">
      <c r="A1422">
        <v>320193</v>
      </c>
      <c r="B1422" t="s">
        <v>100</v>
      </c>
      <c r="C1422" t="s">
        <v>61</v>
      </c>
      <c r="D1422" t="s">
        <v>62</v>
      </c>
      <c r="E1422" t="s">
        <v>12</v>
      </c>
      <c r="F1422">
        <v>258549000000</v>
      </c>
      <c r="G1422" s="1">
        <v>44101</v>
      </c>
      <c r="H1422" t="s">
        <v>13</v>
      </c>
      <c r="I1422" t="s">
        <v>14</v>
      </c>
    </row>
    <row r="1423" spans="1:9" x14ac:dyDescent="0.2">
      <c r="A1423">
        <v>320193</v>
      </c>
      <c r="B1423" t="s">
        <v>97</v>
      </c>
      <c r="C1423" t="s">
        <v>61</v>
      </c>
      <c r="D1423" t="s">
        <v>62</v>
      </c>
      <c r="E1423" t="s">
        <v>12</v>
      </c>
      <c r="F1423">
        <v>287912000000</v>
      </c>
      <c r="G1423" s="1">
        <v>44465</v>
      </c>
      <c r="H1423" t="s">
        <v>13</v>
      </c>
      <c r="I1423" t="s">
        <v>14</v>
      </c>
    </row>
    <row r="1424" spans="1:9" x14ac:dyDescent="0.2">
      <c r="A1424">
        <v>320193</v>
      </c>
      <c r="B1424" t="s">
        <v>99</v>
      </c>
      <c r="C1424" t="s">
        <v>61</v>
      </c>
      <c r="D1424" t="s">
        <v>62</v>
      </c>
      <c r="E1424" t="s">
        <v>12</v>
      </c>
      <c r="F1424">
        <v>287912000000</v>
      </c>
      <c r="G1424" s="1">
        <v>44465</v>
      </c>
      <c r="H1424" t="s">
        <v>13</v>
      </c>
      <c r="I1424" t="s">
        <v>14</v>
      </c>
    </row>
    <row r="1425" spans="1:9" x14ac:dyDescent="0.2">
      <c r="A1425">
        <v>320193</v>
      </c>
      <c r="B1425" t="s">
        <v>97</v>
      </c>
      <c r="C1425" t="s">
        <v>61</v>
      </c>
      <c r="D1425" t="s">
        <v>62</v>
      </c>
      <c r="E1425" t="s">
        <v>12</v>
      </c>
      <c r="F1425">
        <v>302083000000</v>
      </c>
      <c r="G1425" s="1">
        <v>44829</v>
      </c>
      <c r="H1425" t="s">
        <v>13</v>
      </c>
      <c r="I1425" t="s">
        <v>14</v>
      </c>
    </row>
    <row r="1426" spans="1:9" x14ac:dyDescent="0.2">
      <c r="A1426">
        <v>320193</v>
      </c>
      <c r="B1426" t="s">
        <v>101</v>
      </c>
      <c r="C1426" t="s">
        <v>61</v>
      </c>
      <c r="D1426" t="s">
        <v>62</v>
      </c>
      <c r="E1426" t="s">
        <v>12</v>
      </c>
      <c r="F1426">
        <v>302083000000</v>
      </c>
      <c r="G1426" s="1">
        <v>44829</v>
      </c>
      <c r="H1426" t="s">
        <v>13</v>
      </c>
      <c r="I1426" t="s">
        <v>14</v>
      </c>
    </row>
    <row r="1427" spans="1:9" x14ac:dyDescent="0.2">
      <c r="A1427">
        <v>320193</v>
      </c>
      <c r="B1427" t="s">
        <v>98</v>
      </c>
      <c r="C1427" t="s">
        <v>61</v>
      </c>
      <c r="D1427" t="s">
        <v>62</v>
      </c>
      <c r="E1427" t="s">
        <v>12</v>
      </c>
      <c r="F1427">
        <v>290437000000</v>
      </c>
      <c r="G1427" s="1">
        <v>45200</v>
      </c>
      <c r="H1427" t="s">
        <v>13</v>
      </c>
      <c r="I1427" t="s">
        <v>14</v>
      </c>
    </row>
    <row r="1428" spans="1:9" x14ac:dyDescent="0.2">
      <c r="A1428">
        <v>320193</v>
      </c>
      <c r="B1428" t="s">
        <v>101</v>
      </c>
      <c r="C1428" t="s">
        <v>61</v>
      </c>
      <c r="D1428" t="s">
        <v>62</v>
      </c>
      <c r="E1428" t="s">
        <v>12</v>
      </c>
      <c r="F1428">
        <v>290437000000</v>
      </c>
      <c r="G1428" s="1">
        <v>45200</v>
      </c>
      <c r="H1428" t="s">
        <v>13</v>
      </c>
      <c r="I1428" t="s">
        <v>14</v>
      </c>
    </row>
    <row r="1429" spans="1:9" x14ac:dyDescent="0.2">
      <c r="A1429">
        <v>320193</v>
      </c>
      <c r="B1429" t="s">
        <v>88</v>
      </c>
      <c r="C1429" t="s">
        <v>61</v>
      </c>
      <c r="D1429" t="s">
        <v>62</v>
      </c>
      <c r="E1429" t="s">
        <v>12</v>
      </c>
      <c r="F1429">
        <v>308030000000</v>
      </c>
      <c r="G1429" s="1">
        <v>45564</v>
      </c>
      <c r="H1429" t="s">
        <v>13</v>
      </c>
      <c r="I1429" t="s">
        <v>14</v>
      </c>
    </row>
    <row r="1430" spans="1:9" x14ac:dyDescent="0.2">
      <c r="A1430">
        <v>320193</v>
      </c>
      <c r="B1430" t="s">
        <v>98</v>
      </c>
      <c r="C1430" t="s">
        <v>61</v>
      </c>
      <c r="D1430" t="s">
        <v>62</v>
      </c>
      <c r="E1430" t="s">
        <v>12</v>
      </c>
      <c r="F1430">
        <v>308030000000</v>
      </c>
      <c r="G1430" s="1">
        <v>45564</v>
      </c>
      <c r="H1430" t="s">
        <v>13</v>
      </c>
      <c r="I1430" t="s">
        <v>14</v>
      </c>
    </row>
    <row r="1431" spans="1:9" x14ac:dyDescent="0.2">
      <c r="A1431">
        <v>320193</v>
      </c>
      <c r="B1431" t="s">
        <v>88</v>
      </c>
      <c r="C1431" t="s">
        <v>61</v>
      </c>
      <c r="D1431" t="s">
        <v>62</v>
      </c>
      <c r="E1431" t="s">
        <v>12</v>
      </c>
      <c r="F1431">
        <v>285508000000</v>
      </c>
      <c r="G1431" s="1">
        <v>45928</v>
      </c>
      <c r="H1431" t="s">
        <v>13</v>
      </c>
      <c r="I1431" t="s">
        <v>14</v>
      </c>
    </row>
    <row r="1432" spans="1:9" x14ac:dyDescent="0.2">
      <c r="A1432">
        <v>320193</v>
      </c>
      <c r="B1432" t="s">
        <v>9</v>
      </c>
      <c r="C1432" t="s">
        <v>86</v>
      </c>
      <c r="D1432" t="s">
        <v>128</v>
      </c>
      <c r="E1432" t="s">
        <v>12</v>
      </c>
      <c r="F1432">
        <v>234386000000</v>
      </c>
      <c r="G1432" s="1">
        <v>43373</v>
      </c>
      <c r="H1432" t="s">
        <v>13</v>
      </c>
      <c r="I1432" t="s">
        <v>14</v>
      </c>
    </row>
    <row r="1433" spans="1:9" x14ac:dyDescent="0.2">
      <c r="A1433">
        <v>320193</v>
      </c>
      <c r="B1433" t="s">
        <v>9</v>
      </c>
      <c r="C1433" t="s">
        <v>86</v>
      </c>
      <c r="D1433" t="s">
        <v>128</v>
      </c>
      <c r="E1433" t="s">
        <v>12</v>
      </c>
      <c r="F1433">
        <v>175697000000</v>
      </c>
      <c r="G1433" s="1">
        <v>43737</v>
      </c>
      <c r="H1433" t="s">
        <v>13</v>
      </c>
      <c r="I1433" t="s">
        <v>14</v>
      </c>
    </row>
    <row r="1434" spans="1:9" x14ac:dyDescent="0.2">
      <c r="A1434">
        <v>320193</v>
      </c>
      <c r="B1434" t="s">
        <v>100</v>
      </c>
      <c r="C1434" t="s">
        <v>86</v>
      </c>
      <c r="D1434" t="s">
        <v>128</v>
      </c>
      <c r="E1434" t="s">
        <v>12</v>
      </c>
      <c r="F1434">
        <v>175697000000</v>
      </c>
      <c r="G1434" s="1">
        <v>43737</v>
      </c>
      <c r="H1434" t="s">
        <v>13</v>
      </c>
      <c r="I1434" t="s">
        <v>14</v>
      </c>
    </row>
    <row r="1435" spans="1:9" x14ac:dyDescent="0.2">
      <c r="A1435">
        <v>320193</v>
      </c>
      <c r="B1435" t="s">
        <v>99</v>
      </c>
      <c r="C1435" t="s">
        <v>86</v>
      </c>
      <c r="D1435" t="s">
        <v>128</v>
      </c>
      <c r="E1435" t="s">
        <v>12</v>
      </c>
      <c r="F1435">
        <v>180175000000</v>
      </c>
      <c r="G1435" s="1">
        <v>44101</v>
      </c>
      <c r="H1435" t="s">
        <v>13</v>
      </c>
      <c r="I1435" t="s">
        <v>14</v>
      </c>
    </row>
    <row r="1436" spans="1:9" x14ac:dyDescent="0.2">
      <c r="A1436">
        <v>320193</v>
      </c>
      <c r="B1436" t="s">
        <v>100</v>
      </c>
      <c r="C1436" t="s">
        <v>86</v>
      </c>
      <c r="D1436" t="s">
        <v>128</v>
      </c>
      <c r="E1436" t="s">
        <v>12</v>
      </c>
      <c r="F1436">
        <v>180175000000</v>
      </c>
      <c r="G1436" s="1">
        <v>44101</v>
      </c>
      <c r="H1436" t="s">
        <v>13</v>
      </c>
      <c r="I1436" t="s">
        <v>14</v>
      </c>
    </row>
    <row r="1437" spans="1:9" x14ac:dyDescent="0.2">
      <c r="A1437">
        <v>320193</v>
      </c>
      <c r="B1437" t="s">
        <v>97</v>
      </c>
      <c r="C1437" t="s">
        <v>86</v>
      </c>
      <c r="D1437" t="s">
        <v>128</v>
      </c>
      <c r="E1437" t="s">
        <v>12</v>
      </c>
      <c r="F1437">
        <v>216166000000</v>
      </c>
      <c r="G1437" s="1">
        <v>44465</v>
      </c>
      <c r="H1437" t="s">
        <v>13</v>
      </c>
      <c r="I1437" t="s">
        <v>14</v>
      </c>
    </row>
    <row r="1438" spans="1:9" x14ac:dyDescent="0.2">
      <c r="A1438">
        <v>320193</v>
      </c>
      <c r="B1438" t="s">
        <v>99</v>
      </c>
      <c r="C1438" t="s">
        <v>86</v>
      </c>
      <c r="D1438" t="s">
        <v>128</v>
      </c>
      <c r="E1438" t="s">
        <v>12</v>
      </c>
      <c r="F1438">
        <v>216166000000</v>
      </c>
      <c r="G1438" s="1">
        <v>44465</v>
      </c>
      <c r="H1438" t="s">
        <v>13</v>
      </c>
      <c r="I1438" t="s">
        <v>14</v>
      </c>
    </row>
    <row r="1439" spans="1:9" x14ac:dyDescent="0.2">
      <c r="A1439">
        <v>320193</v>
      </c>
      <c r="B1439" t="s">
        <v>97</v>
      </c>
      <c r="C1439" t="s">
        <v>86</v>
      </c>
      <c r="D1439" t="s">
        <v>128</v>
      </c>
      <c r="E1439" t="s">
        <v>12</v>
      </c>
      <c r="F1439">
        <v>217350000000</v>
      </c>
      <c r="G1439" s="1">
        <v>44829</v>
      </c>
      <c r="H1439" t="s">
        <v>13</v>
      </c>
      <c r="I1439" t="s">
        <v>14</v>
      </c>
    </row>
    <row r="1440" spans="1:9" x14ac:dyDescent="0.2">
      <c r="A1440">
        <v>320193</v>
      </c>
      <c r="B1440" t="s">
        <v>101</v>
      </c>
      <c r="C1440" t="s">
        <v>86</v>
      </c>
      <c r="D1440" t="s">
        <v>128</v>
      </c>
      <c r="E1440" t="s">
        <v>12</v>
      </c>
      <c r="F1440">
        <v>217350000000</v>
      </c>
      <c r="G1440" s="1">
        <v>44829</v>
      </c>
      <c r="H1440" t="s">
        <v>13</v>
      </c>
      <c r="I1440" t="s">
        <v>14</v>
      </c>
    </row>
    <row r="1441" spans="1:9" x14ac:dyDescent="0.2">
      <c r="A1441">
        <v>320193</v>
      </c>
      <c r="B1441" t="s">
        <v>98</v>
      </c>
      <c r="C1441" t="s">
        <v>86</v>
      </c>
      <c r="D1441" t="s">
        <v>128</v>
      </c>
      <c r="E1441" t="s">
        <v>12</v>
      </c>
      <c r="F1441">
        <v>209017000000</v>
      </c>
      <c r="G1441" s="1">
        <v>45200</v>
      </c>
      <c r="H1441" t="s">
        <v>13</v>
      </c>
      <c r="I1441" t="s">
        <v>14</v>
      </c>
    </row>
    <row r="1442" spans="1:9" x14ac:dyDescent="0.2">
      <c r="A1442">
        <v>320193</v>
      </c>
      <c r="B1442" t="s">
        <v>101</v>
      </c>
      <c r="C1442" t="s">
        <v>86</v>
      </c>
      <c r="D1442" t="s">
        <v>128</v>
      </c>
      <c r="E1442" t="s">
        <v>12</v>
      </c>
      <c r="F1442">
        <v>209017000000</v>
      </c>
      <c r="G1442" s="1">
        <v>45200</v>
      </c>
      <c r="H1442" t="s">
        <v>13</v>
      </c>
      <c r="I1442" t="s">
        <v>14</v>
      </c>
    </row>
    <row r="1443" spans="1:9" x14ac:dyDescent="0.2">
      <c r="A1443">
        <v>320193</v>
      </c>
      <c r="B1443" t="s">
        <v>88</v>
      </c>
      <c r="C1443" t="s">
        <v>86</v>
      </c>
      <c r="D1443" t="s">
        <v>128</v>
      </c>
      <c r="E1443" t="s">
        <v>12</v>
      </c>
      <c r="F1443">
        <v>211993000000</v>
      </c>
      <c r="G1443" s="1">
        <v>45564</v>
      </c>
      <c r="H1443" t="s">
        <v>13</v>
      </c>
      <c r="I1443" t="s">
        <v>14</v>
      </c>
    </row>
    <row r="1444" spans="1:9" x14ac:dyDescent="0.2">
      <c r="A1444">
        <v>320193</v>
      </c>
      <c r="B1444" t="s">
        <v>98</v>
      </c>
      <c r="C1444" t="s">
        <v>86</v>
      </c>
      <c r="D1444" t="s">
        <v>128</v>
      </c>
      <c r="E1444" t="s">
        <v>12</v>
      </c>
      <c r="F1444">
        <v>211993000000</v>
      </c>
      <c r="G1444" s="1">
        <v>45564</v>
      </c>
      <c r="H1444" t="s">
        <v>13</v>
      </c>
      <c r="I1444" t="s">
        <v>14</v>
      </c>
    </row>
    <row r="1445" spans="1:9" x14ac:dyDescent="0.2">
      <c r="A1445">
        <v>320193</v>
      </c>
      <c r="B1445" t="s">
        <v>88</v>
      </c>
      <c r="C1445" t="s">
        <v>86</v>
      </c>
      <c r="D1445" t="s">
        <v>128</v>
      </c>
      <c r="E1445" t="s">
        <v>12</v>
      </c>
      <c r="F1445">
        <v>211284000000</v>
      </c>
      <c r="G1445" s="1">
        <v>45928</v>
      </c>
      <c r="H1445" t="s">
        <v>13</v>
      </c>
      <c r="I1445" t="s">
        <v>14</v>
      </c>
    </row>
  </sheetData>
  <sortState xmlns:xlrd2="http://schemas.microsoft.com/office/spreadsheetml/2017/richdata2" ref="A2:I1328">
    <sortCondition ref="C2:C1328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1809-6287-B14A-859C-E5C9A3D84DA8}">
  <dimension ref="A1:J101"/>
  <sheetViews>
    <sheetView tabSelected="1" topLeftCell="A14" zoomScale="109" workbookViewId="0">
      <selection activeCell="A41" sqref="A41"/>
    </sheetView>
  </sheetViews>
  <sheetFormatPr baseColWidth="10" defaultRowHeight="16" x14ac:dyDescent="0.2"/>
  <cols>
    <col min="1" max="1" width="76.6640625" bestFit="1" customWidth="1"/>
    <col min="2" max="2" width="15.5" customWidth="1"/>
    <col min="3" max="3" width="10.83203125" customWidth="1"/>
    <col min="4" max="5" width="11.83203125" customWidth="1"/>
    <col min="6" max="6" width="12.33203125" customWidth="1"/>
    <col min="7" max="8" width="12.1640625" bestFit="1" customWidth="1"/>
    <col min="9" max="9" width="11.33203125" customWidth="1"/>
    <col min="10" max="10" width="12.1640625" bestFit="1" customWidth="1"/>
  </cols>
  <sheetData>
    <row r="1" spans="1:10" x14ac:dyDescent="0.2">
      <c r="A1" s="4" t="s">
        <v>148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2">
      <c r="A2" s="4" t="s">
        <v>144</v>
      </c>
      <c r="C2">
        <v>365725000000</v>
      </c>
      <c r="D2">
        <v>338516000000</v>
      </c>
      <c r="E2">
        <v>323888000000</v>
      </c>
      <c r="F2">
        <v>351002000000</v>
      </c>
      <c r="G2">
        <f t="shared" ref="G2:I2" si="0">SUM(G3:G8)</f>
        <v>352755000000</v>
      </c>
      <c r="H2">
        <f t="shared" si="0"/>
        <v>352583000000</v>
      </c>
      <c r="I2">
        <f t="shared" si="0"/>
        <v>364980000000</v>
      </c>
      <c r="J2">
        <f>SUM(J3:J8)</f>
        <v>359241000000</v>
      </c>
    </row>
    <row r="3" spans="1:10" x14ac:dyDescent="0.2">
      <c r="A3" t="s">
        <v>149</v>
      </c>
      <c r="C3">
        <v>234386000000</v>
      </c>
      <c r="D3">
        <v>175697000000</v>
      </c>
      <c r="E3">
        <v>180175000000</v>
      </c>
      <c r="F3">
        <v>216166000000</v>
      </c>
      <c r="G3">
        <v>217350000000</v>
      </c>
      <c r="H3">
        <v>209017000000</v>
      </c>
      <c r="I3">
        <v>211993000000</v>
      </c>
      <c r="J3">
        <v>211284000000</v>
      </c>
    </row>
    <row r="4" spans="1:10" x14ac:dyDescent="0.2">
      <c r="A4" t="s">
        <v>150</v>
      </c>
      <c r="C4">
        <v>12087000000</v>
      </c>
      <c r="D4">
        <v>12352000000</v>
      </c>
      <c r="E4">
        <v>11264000000</v>
      </c>
      <c r="F4">
        <v>14111000000</v>
      </c>
      <c r="G4">
        <v>21223000000</v>
      </c>
      <c r="H4">
        <v>14695000000</v>
      </c>
      <c r="I4">
        <v>14287000000</v>
      </c>
      <c r="J4">
        <v>14585000000</v>
      </c>
    </row>
    <row r="5" spans="1:10" x14ac:dyDescent="0.2">
      <c r="A5" t="s">
        <v>151</v>
      </c>
      <c r="C5">
        <f>C2-C3-C4-C6-C7-C8</f>
        <v>48995000000</v>
      </c>
      <c r="D5">
        <f t="shared" ref="D5:F5" si="1">D2-D3-D4-D6-D7-D8</f>
        <v>45804000000</v>
      </c>
      <c r="E5">
        <f t="shared" si="1"/>
        <v>37445000000</v>
      </c>
      <c r="F5">
        <f t="shared" si="1"/>
        <v>51506000000</v>
      </c>
      <c r="G5">
        <v>60932000000</v>
      </c>
      <c r="H5">
        <v>60985000000</v>
      </c>
      <c r="I5">
        <v>66243000000</v>
      </c>
      <c r="J5">
        <v>72957000000</v>
      </c>
    </row>
    <row r="6" spans="1:10" x14ac:dyDescent="0.2">
      <c r="A6" t="s">
        <v>152</v>
      </c>
      <c r="B6">
        <v>4855000000</v>
      </c>
      <c r="C6">
        <v>3956000000</v>
      </c>
      <c r="D6">
        <v>4106000000</v>
      </c>
      <c r="E6">
        <v>4061000000</v>
      </c>
      <c r="F6">
        <v>6580000000</v>
      </c>
      <c r="G6">
        <v>4946000000</v>
      </c>
      <c r="H6">
        <v>6331000000</v>
      </c>
      <c r="I6">
        <v>7286000000</v>
      </c>
      <c r="J6">
        <v>5718000000</v>
      </c>
    </row>
    <row r="7" spans="1:10" x14ac:dyDescent="0.2">
      <c r="A7" t="s">
        <v>153</v>
      </c>
      <c r="C7">
        <v>25913000000</v>
      </c>
      <c r="D7">
        <v>48844000000</v>
      </c>
      <c r="E7">
        <v>38016000000</v>
      </c>
      <c r="F7">
        <v>34940000000</v>
      </c>
      <c r="G7">
        <v>23646000000</v>
      </c>
      <c r="H7">
        <v>29965000000</v>
      </c>
      <c r="I7">
        <v>29943000000</v>
      </c>
      <c r="J7">
        <v>35934000000</v>
      </c>
    </row>
    <row r="8" spans="1:10" x14ac:dyDescent="0.2">
      <c r="A8" t="s">
        <v>154</v>
      </c>
      <c r="C8">
        <v>40388000000</v>
      </c>
      <c r="D8">
        <v>51713000000</v>
      </c>
      <c r="E8">
        <v>52927000000</v>
      </c>
      <c r="F8">
        <v>27699000000</v>
      </c>
      <c r="G8">
        <v>24658000000</v>
      </c>
      <c r="H8">
        <v>31590000000</v>
      </c>
      <c r="I8">
        <v>35228000000</v>
      </c>
      <c r="J8">
        <v>18763000000</v>
      </c>
    </row>
    <row r="9" spans="1:10" x14ac:dyDescent="0.2">
      <c r="A9" s="4" t="s">
        <v>145</v>
      </c>
      <c r="C9" s="4"/>
      <c r="D9" s="4"/>
      <c r="E9" s="4"/>
      <c r="F9" s="4"/>
    </row>
    <row r="10" spans="1:10" x14ac:dyDescent="0.2">
      <c r="A10" t="s">
        <v>147</v>
      </c>
      <c r="C10">
        <v>55888000000</v>
      </c>
      <c r="D10">
        <v>46236000000</v>
      </c>
      <c r="E10">
        <v>42296000000</v>
      </c>
      <c r="F10">
        <v>54763000000</v>
      </c>
      <c r="G10">
        <v>64115000000</v>
      </c>
      <c r="H10">
        <v>62611000000</v>
      </c>
      <c r="I10">
        <v>68960000000</v>
      </c>
      <c r="J10">
        <v>69860000000</v>
      </c>
    </row>
    <row r="11" spans="1:10" x14ac:dyDescent="0.2">
      <c r="A11" t="s">
        <v>155</v>
      </c>
      <c r="C11">
        <v>5966000000</v>
      </c>
      <c r="D11">
        <v>5522000000</v>
      </c>
      <c r="E11">
        <v>6643000000</v>
      </c>
      <c r="F11">
        <v>7612000000</v>
      </c>
      <c r="G11">
        <v>7912000000</v>
      </c>
      <c r="H11">
        <v>8061000000</v>
      </c>
      <c r="I11">
        <v>8249000000</v>
      </c>
      <c r="J11">
        <v>9055000000</v>
      </c>
    </row>
    <row r="12" spans="1:10" x14ac:dyDescent="0.2">
      <c r="A12" t="s">
        <v>166</v>
      </c>
      <c r="C12">
        <f t="shared" ref="C12:E12" si="2">C2-C15-C13-C11-C10</f>
        <v>55012000000</v>
      </c>
      <c r="D12">
        <f t="shared" si="2"/>
        <v>53960000000</v>
      </c>
      <c r="E12">
        <f t="shared" si="2"/>
        <v>56453000000</v>
      </c>
      <c r="F12">
        <f>F2-F15-F13-F11-F10</f>
        <v>63106000000</v>
      </c>
      <c r="G12">
        <v>81955000000</v>
      </c>
      <c r="H12">
        <v>74636000000</v>
      </c>
      <c r="I12">
        <v>99183000000</v>
      </c>
      <c r="J12">
        <v>86716000000</v>
      </c>
    </row>
    <row r="13" spans="1:10" x14ac:dyDescent="0.2">
      <c r="A13" t="s">
        <v>156</v>
      </c>
      <c r="C13">
        <v>141712000000</v>
      </c>
      <c r="D13">
        <v>142310000000</v>
      </c>
      <c r="E13">
        <v>153157000000</v>
      </c>
      <c r="F13">
        <v>162431000000</v>
      </c>
      <c r="G13">
        <v>148101000000</v>
      </c>
      <c r="H13">
        <v>145129000000</v>
      </c>
      <c r="I13">
        <v>131638000000</v>
      </c>
      <c r="J13">
        <v>119877000000</v>
      </c>
    </row>
    <row r="14" spans="1:10" x14ac:dyDescent="0.2">
      <c r="A14" s="4" t="s">
        <v>146</v>
      </c>
      <c r="C14" s="4"/>
      <c r="D14" s="4"/>
      <c r="E14" s="4"/>
      <c r="F14" s="4"/>
    </row>
    <row r="15" spans="1:10" x14ac:dyDescent="0.2">
      <c r="A15" t="s">
        <v>65</v>
      </c>
      <c r="C15">
        <v>107147000000</v>
      </c>
      <c r="D15">
        <v>90488000000</v>
      </c>
      <c r="E15">
        <v>65339000000</v>
      </c>
      <c r="F15">
        <v>63090000000</v>
      </c>
      <c r="G15">
        <v>50672000000</v>
      </c>
      <c r="H15">
        <v>62146000000</v>
      </c>
      <c r="I15">
        <v>56950000000</v>
      </c>
      <c r="J15">
        <v>73733000000</v>
      </c>
    </row>
    <row r="16" spans="1:10" x14ac:dyDescent="0.2">
      <c r="A16" s="4" t="s">
        <v>165</v>
      </c>
      <c r="C16">
        <f t="shared" ref="C16:F16" si="3">SUM(C3:C8) - SUM(C10:C13) - C15</f>
        <v>0</v>
      </c>
      <c r="D16">
        <f t="shared" si="3"/>
        <v>0</v>
      </c>
      <c r="E16">
        <f t="shared" si="3"/>
        <v>0</v>
      </c>
      <c r="F16">
        <f t="shared" si="3"/>
        <v>0</v>
      </c>
      <c r="G16">
        <f>SUM(G3:G8) - SUM(G10:G13) - G15</f>
        <v>0</v>
      </c>
      <c r="H16">
        <f t="shared" ref="H16" si="4">SUM(H3:H8) - SUM(H10:H13) - H15</f>
        <v>0</v>
      </c>
      <c r="I16">
        <f t="shared" ref="I16" si="5">SUM(I3:I8) - SUM(I10:I13) - I15</f>
        <v>0</v>
      </c>
      <c r="J16">
        <f t="shared" ref="J16" si="6">SUM(J3:J8) - SUM(J10:J13) - J15</f>
        <v>0</v>
      </c>
    </row>
    <row r="20" spans="1:10" x14ac:dyDescent="0.2">
      <c r="A20" s="4" t="s">
        <v>157</v>
      </c>
      <c r="C20" s="4"/>
      <c r="D20" s="4"/>
      <c r="E20" s="4"/>
      <c r="F20" s="4"/>
    </row>
    <row r="21" spans="1:10" x14ac:dyDescent="0.2">
      <c r="A21" t="s">
        <v>158</v>
      </c>
      <c r="C21">
        <v>265595000000</v>
      </c>
      <c r="D21">
        <v>260174000000</v>
      </c>
      <c r="E21">
        <v>274515000000</v>
      </c>
      <c r="F21">
        <v>365817000000</v>
      </c>
      <c r="G21">
        <v>394328000000</v>
      </c>
      <c r="H21">
        <v>383285000000</v>
      </c>
      <c r="I21">
        <v>391035000000</v>
      </c>
      <c r="J21">
        <v>416161000000</v>
      </c>
    </row>
    <row r="22" spans="1:10" x14ac:dyDescent="0.2">
      <c r="A22" t="s">
        <v>167</v>
      </c>
      <c r="C22">
        <v>10903000000</v>
      </c>
      <c r="D22">
        <v>12547000000</v>
      </c>
      <c r="E22">
        <v>11056000000</v>
      </c>
      <c r="F22">
        <v>11284000000</v>
      </c>
      <c r="G22">
        <v>11104000000</v>
      </c>
      <c r="H22">
        <v>11519000000</v>
      </c>
      <c r="I22">
        <v>11445000000</v>
      </c>
      <c r="J22">
        <v>11698000000</v>
      </c>
    </row>
    <row r="23" spans="1:10" x14ac:dyDescent="0.2">
      <c r="A23" t="s">
        <v>159</v>
      </c>
      <c r="C23">
        <v>152853000000</v>
      </c>
      <c r="D23">
        <v>149235000000</v>
      </c>
      <c r="E23">
        <v>158503000000</v>
      </c>
      <c r="F23">
        <v>201697000000</v>
      </c>
      <c r="G23">
        <v>212442000000</v>
      </c>
      <c r="H23">
        <v>202618000000</v>
      </c>
      <c r="I23">
        <v>198907000000</v>
      </c>
      <c r="J23">
        <v>209262000000</v>
      </c>
    </row>
    <row r="24" spans="1:10" x14ac:dyDescent="0.2">
      <c r="A24" t="s">
        <v>160</v>
      </c>
      <c r="C24">
        <v>30941000000</v>
      </c>
      <c r="D24">
        <v>34462000000</v>
      </c>
      <c r="E24">
        <v>38668000000</v>
      </c>
      <c r="F24">
        <v>43887000000</v>
      </c>
      <c r="G24">
        <v>51345000000</v>
      </c>
      <c r="H24">
        <v>54847000000</v>
      </c>
      <c r="I24">
        <v>57467000000</v>
      </c>
      <c r="J24">
        <v>62151000000</v>
      </c>
    </row>
    <row r="25" spans="1:10" x14ac:dyDescent="0.2">
      <c r="A25" t="s">
        <v>161</v>
      </c>
      <c r="C25">
        <v>13372000000</v>
      </c>
      <c r="D25">
        <v>10481000000</v>
      </c>
      <c r="E25">
        <v>9680000000</v>
      </c>
      <c r="F25">
        <v>14527000000</v>
      </c>
      <c r="G25">
        <v>19300000000</v>
      </c>
      <c r="H25">
        <v>16741000000</v>
      </c>
      <c r="I25">
        <v>29749000000</v>
      </c>
      <c r="J25">
        <v>20719000000</v>
      </c>
    </row>
    <row r="26" spans="1:10" x14ac:dyDescent="0.2">
      <c r="A26" t="s">
        <v>28</v>
      </c>
      <c r="C26">
        <v>59531000000</v>
      </c>
      <c r="D26">
        <v>55256000000</v>
      </c>
      <c r="E26">
        <v>57411000000</v>
      </c>
      <c r="F26">
        <v>94680000000</v>
      </c>
      <c r="G26">
        <v>99803000000</v>
      </c>
      <c r="H26">
        <v>96995000000</v>
      </c>
      <c r="I26">
        <v>93736000000</v>
      </c>
      <c r="J26">
        <v>112010000000</v>
      </c>
    </row>
    <row r="31" spans="1:10" x14ac:dyDescent="0.2">
      <c r="A31" s="4" t="s">
        <v>162</v>
      </c>
      <c r="C31" s="4"/>
      <c r="D31" s="4"/>
      <c r="E31" s="4"/>
      <c r="F31" s="4"/>
    </row>
    <row r="32" spans="1:10" x14ac:dyDescent="0.2">
      <c r="A32" t="s">
        <v>163</v>
      </c>
      <c r="C32">
        <v>13712000000</v>
      </c>
      <c r="D32">
        <v>14119000000</v>
      </c>
      <c r="E32">
        <v>14081000000</v>
      </c>
      <c r="F32">
        <v>14467000000</v>
      </c>
      <c r="G32">
        <v>14841000000</v>
      </c>
      <c r="H32">
        <v>15025000000</v>
      </c>
      <c r="I32">
        <v>15234000000</v>
      </c>
      <c r="J32">
        <v>15421000000</v>
      </c>
    </row>
    <row r="33" spans="1:10" x14ac:dyDescent="0.2">
      <c r="A33" t="s">
        <v>164</v>
      </c>
      <c r="C33">
        <v>72738000000</v>
      </c>
      <c r="D33">
        <v>66897000000</v>
      </c>
      <c r="E33">
        <v>72358000000</v>
      </c>
      <c r="F33">
        <v>85971000000</v>
      </c>
      <c r="G33">
        <v>89402000000</v>
      </c>
      <c r="H33">
        <v>77550000000</v>
      </c>
      <c r="I33">
        <v>94949000000</v>
      </c>
      <c r="J33">
        <v>90711000000</v>
      </c>
    </row>
    <row r="36" spans="1:10" x14ac:dyDescent="0.2">
      <c r="A36" t="s">
        <v>168</v>
      </c>
      <c r="C36">
        <v>2.4E-2</v>
      </c>
      <c r="D36">
        <v>1.7999999999999999E-2</v>
      </c>
      <c r="E36">
        <v>1.2E-2</v>
      </c>
      <c r="F36">
        <v>4.7E-2</v>
      </c>
      <c r="G36">
        <v>0.08</v>
      </c>
      <c r="H36">
        <v>4.1000000000000002E-2</v>
      </c>
      <c r="I36">
        <v>2.9000000000000001E-2</v>
      </c>
      <c r="J36">
        <v>2.7E-2</v>
      </c>
    </row>
    <row r="41" spans="1:10" x14ac:dyDescent="0.2">
      <c r="A41" t="s">
        <v>178</v>
      </c>
      <c r="C41">
        <f>115929000000-8784000000-5966000000-55888000000</f>
        <v>45291000000</v>
      </c>
      <c r="D41">
        <f>105718000000-10260000000-5522000000-46236000000</f>
        <v>43700000000</v>
      </c>
      <c r="E41">
        <f>105392000000-8773000000-6643000000-42296000000</f>
        <v>47680000000</v>
      </c>
      <c r="F41">
        <f>125481000000-9613000000-7612000000-54763000000</f>
        <v>53493000000</v>
      </c>
      <c r="G41">
        <f>153982000000-11128000000-7912000000-64115000000</f>
        <v>70827000000</v>
      </c>
      <c r="H41">
        <f>145308000000-9822000000-8061000000-62611000000</f>
        <v>64814000000</v>
      </c>
      <c r="I41">
        <f>176392000000-10912000000-68960000000-8249000000</f>
        <v>88271000000</v>
      </c>
      <c r="J41">
        <f>165631000000 -12350000000-69860000000-9055000000</f>
        <v>74366000000</v>
      </c>
    </row>
    <row r="43" spans="1:10" x14ac:dyDescent="0.2">
      <c r="A43" t="s">
        <v>169</v>
      </c>
      <c r="C43">
        <f t="shared" ref="C43:J43" si="7">SUM(C7:C8)</f>
        <v>66301000000</v>
      </c>
      <c r="D43">
        <f t="shared" si="7"/>
        <v>100557000000</v>
      </c>
      <c r="E43">
        <f t="shared" si="7"/>
        <v>90943000000</v>
      </c>
      <c r="F43">
        <f t="shared" si="7"/>
        <v>62639000000</v>
      </c>
      <c r="G43">
        <f t="shared" si="7"/>
        <v>48304000000</v>
      </c>
      <c r="H43">
        <f t="shared" si="7"/>
        <v>61555000000</v>
      </c>
      <c r="I43">
        <f t="shared" si="7"/>
        <v>65171000000</v>
      </c>
      <c r="J43">
        <f t="shared" si="7"/>
        <v>54697000000</v>
      </c>
    </row>
    <row r="44" spans="1:10" x14ac:dyDescent="0.2">
      <c r="A44" t="s">
        <v>170</v>
      </c>
      <c r="C44">
        <f>C7/C43</f>
        <v>0.39083875054674894</v>
      </c>
      <c r="D44">
        <f t="shared" ref="D44:J44" si="8">D7/D43</f>
        <v>0.48573445906301899</v>
      </c>
      <c r="E44">
        <f t="shared" si="8"/>
        <v>0.41802007851071549</v>
      </c>
      <c r="F44">
        <f t="shared" si="8"/>
        <v>0.55779945401427222</v>
      </c>
      <c r="G44">
        <f t="shared" si="8"/>
        <v>0.48952467704537928</v>
      </c>
      <c r="H44">
        <f t="shared" si="8"/>
        <v>0.48680042238648363</v>
      </c>
      <c r="I44">
        <f t="shared" si="8"/>
        <v>0.45945282410888277</v>
      </c>
      <c r="J44">
        <f t="shared" si="8"/>
        <v>0.65696473298352742</v>
      </c>
    </row>
    <row r="45" spans="1:10" x14ac:dyDescent="0.2">
      <c r="A45" t="s">
        <v>173</v>
      </c>
      <c r="C45">
        <f>C32/C26</f>
        <v>0.23033377567989788</v>
      </c>
      <c r="D45">
        <f t="shared" ref="D45:J45" si="9">D32/D26</f>
        <v>0.25551976255972203</v>
      </c>
      <c r="E45">
        <f t="shared" si="9"/>
        <v>0.24526658654264863</v>
      </c>
      <c r="F45">
        <f t="shared" si="9"/>
        <v>0.15279890156316012</v>
      </c>
      <c r="G45">
        <f t="shared" si="9"/>
        <v>0.14870294480125848</v>
      </c>
      <c r="H45">
        <f t="shared" si="9"/>
        <v>0.1549048920047425</v>
      </c>
      <c r="I45">
        <f t="shared" si="9"/>
        <v>0.16252026969360758</v>
      </c>
      <c r="J45">
        <f t="shared" si="9"/>
        <v>0.13767520757075261</v>
      </c>
    </row>
    <row r="46" spans="1:10" x14ac:dyDescent="0.2">
      <c r="A46" t="s">
        <v>174</v>
      </c>
      <c r="C46">
        <f>C33/C22</f>
        <v>6.6713748509584514</v>
      </c>
      <c r="D46">
        <f t="shared" ref="D46:J46" si="10">D33/D22</f>
        <v>5.3317127600223158</v>
      </c>
      <c r="E46">
        <f t="shared" si="10"/>
        <v>6.5446816208393637</v>
      </c>
      <c r="F46">
        <f t="shared" si="10"/>
        <v>7.6188408365827724</v>
      </c>
      <c r="G46">
        <f t="shared" si="10"/>
        <v>8.0513328530259365</v>
      </c>
      <c r="H46">
        <f t="shared" si="10"/>
        <v>6.732355239170067</v>
      </c>
      <c r="I46">
        <f t="shared" si="10"/>
        <v>8.2961118392311057</v>
      </c>
      <c r="J46">
        <f t="shared" si="10"/>
        <v>7.7544024619593097</v>
      </c>
    </row>
    <row r="49" spans="1:10" x14ac:dyDescent="0.2">
      <c r="A49" t="s">
        <v>175</v>
      </c>
      <c r="C49">
        <f>C15-B15-C26+C32+C33</f>
        <v>134066000000</v>
      </c>
      <c r="D49">
        <f t="shared" ref="D49:J49" si="11">D15-C15-D26+D32+D33</f>
        <v>9101000000</v>
      </c>
      <c r="E49">
        <f t="shared" si="11"/>
        <v>3879000000</v>
      </c>
      <c r="F49">
        <f t="shared" si="11"/>
        <v>3509000000</v>
      </c>
      <c r="G49">
        <f t="shared" si="11"/>
        <v>-7978000000</v>
      </c>
      <c r="H49">
        <f t="shared" si="11"/>
        <v>7054000000</v>
      </c>
      <c r="I49">
        <f t="shared" si="11"/>
        <v>11251000000</v>
      </c>
      <c r="J49">
        <f t="shared" si="11"/>
        <v>10905000000</v>
      </c>
    </row>
    <row r="50" spans="1:10" x14ac:dyDescent="0.2">
      <c r="A50" t="s">
        <v>45</v>
      </c>
      <c r="C50">
        <v>41304000000</v>
      </c>
      <c r="D50">
        <v>37378000000</v>
      </c>
      <c r="E50">
        <v>36766000000</v>
      </c>
      <c r="F50">
        <v>39440000000</v>
      </c>
      <c r="G50">
        <v>42117000000</v>
      </c>
      <c r="H50">
        <v>43715000000</v>
      </c>
      <c r="I50">
        <v>45680000000</v>
      </c>
      <c r="J50">
        <v>49834000000</v>
      </c>
    </row>
    <row r="51" spans="1:10" x14ac:dyDescent="0.2">
      <c r="A51" t="s">
        <v>177</v>
      </c>
      <c r="C51">
        <f>C22/C50</f>
        <v>0.26396959132287429</v>
      </c>
      <c r="D51">
        <f>D22/D50</f>
        <v>0.33567874150569854</v>
      </c>
      <c r="E51">
        <f>E22/E50</f>
        <v>0.30071261491595497</v>
      </c>
      <c r="F51">
        <f>F22/F50</f>
        <v>0.28610547667342801</v>
      </c>
      <c r="G51">
        <f>G22/G50</f>
        <v>0.26364650853574567</v>
      </c>
      <c r="H51">
        <f>H22/H50</f>
        <v>0.26350223035571313</v>
      </c>
      <c r="I51">
        <f>I22/I50</f>
        <v>0.25054728546409805</v>
      </c>
      <c r="J51">
        <f>J22/J50</f>
        <v>0.23473933459084159</v>
      </c>
    </row>
    <row r="52" spans="1:10" x14ac:dyDescent="0.2">
      <c r="F52" s="1"/>
    </row>
    <row r="53" spans="1:10" x14ac:dyDescent="0.2">
      <c r="F53" s="1"/>
    </row>
    <row r="54" spans="1:10" x14ac:dyDescent="0.2">
      <c r="F54" s="1"/>
    </row>
    <row r="55" spans="1:10" x14ac:dyDescent="0.2">
      <c r="F55" s="1"/>
    </row>
    <row r="56" spans="1:10" x14ac:dyDescent="0.2">
      <c r="F56" s="1"/>
    </row>
    <row r="57" spans="1:10" x14ac:dyDescent="0.2">
      <c r="F57" s="1"/>
    </row>
    <row r="58" spans="1:10" x14ac:dyDescent="0.2">
      <c r="F58" s="1"/>
    </row>
    <row r="59" spans="1:10" x14ac:dyDescent="0.2">
      <c r="F59" s="1"/>
    </row>
    <row r="60" spans="1:10" x14ac:dyDescent="0.2">
      <c r="F60" s="1"/>
    </row>
    <row r="61" spans="1:10" x14ac:dyDescent="0.2">
      <c r="F61" s="1"/>
    </row>
    <row r="62" spans="1:10" x14ac:dyDescent="0.2">
      <c r="F62" s="1"/>
    </row>
    <row r="63" spans="1:10" x14ac:dyDescent="0.2">
      <c r="F63" s="1"/>
    </row>
    <row r="64" spans="1:10" x14ac:dyDescent="0.2">
      <c r="F64" s="1"/>
    </row>
    <row r="65" spans="6:6" x14ac:dyDescent="0.2">
      <c r="F65" s="1"/>
    </row>
    <row r="66" spans="6:6" x14ac:dyDescent="0.2">
      <c r="F66" s="1"/>
    </row>
    <row r="94" spans="1:6" x14ac:dyDescent="0.2">
      <c r="A94" t="s">
        <v>45</v>
      </c>
      <c r="B94" t="s">
        <v>46</v>
      </c>
      <c r="C94" t="s">
        <v>12</v>
      </c>
      <c r="D94">
        <v>41304000000</v>
      </c>
      <c r="E94" s="1">
        <v>43373</v>
      </c>
      <c r="F94">
        <v>41304000000</v>
      </c>
    </row>
    <row r="95" spans="1:6" x14ac:dyDescent="0.2">
      <c r="A95" t="s">
        <v>45</v>
      </c>
      <c r="B95" t="s">
        <v>46</v>
      </c>
      <c r="C95" t="s">
        <v>12</v>
      </c>
      <c r="D95">
        <v>37378000000</v>
      </c>
      <c r="E95" s="1">
        <v>43737</v>
      </c>
      <c r="F95">
        <v>37378000000</v>
      </c>
    </row>
    <row r="96" spans="1:6" x14ac:dyDescent="0.2">
      <c r="A96" t="s">
        <v>45</v>
      </c>
      <c r="B96" t="s">
        <v>46</v>
      </c>
      <c r="C96" t="s">
        <v>12</v>
      </c>
      <c r="D96">
        <v>36766000000</v>
      </c>
      <c r="E96" s="1">
        <v>44101</v>
      </c>
      <c r="F96">
        <v>36766000000</v>
      </c>
    </row>
    <row r="97" spans="1:6" x14ac:dyDescent="0.2">
      <c r="A97" t="s">
        <v>45</v>
      </c>
      <c r="B97" t="s">
        <v>46</v>
      </c>
      <c r="C97" t="s">
        <v>12</v>
      </c>
      <c r="D97">
        <v>39440000000</v>
      </c>
      <c r="E97" s="1">
        <v>44465</v>
      </c>
      <c r="F97">
        <v>39440000000</v>
      </c>
    </row>
    <row r="98" spans="1:6" x14ac:dyDescent="0.2">
      <c r="A98" t="s">
        <v>45</v>
      </c>
      <c r="B98" t="s">
        <v>46</v>
      </c>
      <c r="C98" t="s">
        <v>12</v>
      </c>
      <c r="D98">
        <v>42117000000</v>
      </c>
      <c r="E98" s="1">
        <v>44829</v>
      </c>
      <c r="F98">
        <v>42117000000</v>
      </c>
    </row>
    <row r="99" spans="1:6" x14ac:dyDescent="0.2">
      <c r="A99" t="s">
        <v>45</v>
      </c>
      <c r="B99" t="s">
        <v>46</v>
      </c>
      <c r="C99" t="s">
        <v>12</v>
      </c>
      <c r="D99">
        <v>43715000000</v>
      </c>
      <c r="E99" s="1">
        <v>45200</v>
      </c>
      <c r="F99">
        <v>43715000000</v>
      </c>
    </row>
    <row r="100" spans="1:6" x14ac:dyDescent="0.2">
      <c r="A100" t="s">
        <v>45</v>
      </c>
      <c r="B100" t="s">
        <v>46</v>
      </c>
      <c r="C100" t="s">
        <v>12</v>
      </c>
      <c r="D100">
        <v>45680000000</v>
      </c>
      <c r="E100" s="1">
        <v>45564</v>
      </c>
      <c r="F100">
        <v>45680000000</v>
      </c>
    </row>
    <row r="101" spans="1:6" x14ac:dyDescent="0.2">
      <c r="A101" t="s">
        <v>45</v>
      </c>
      <c r="B101" t="s">
        <v>46</v>
      </c>
      <c r="C101" t="s">
        <v>12</v>
      </c>
      <c r="D101">
        <v>49834000000</v>
      </c>
      <c r="E101" s="1">
        <v>45928</v>
      </c>
      <c r="F101">
        <v>49834000000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0D6-556A-4F4E-A0B1-16F825E04804}">
  <dimension ref="A2:V83"/>
  <sheetViews>
    <sheetView topLeftCell="D1" workbookViewId="0">
      <selection activeCell="T37" sqref="T37"/>
    </sheetView>
  </sheetViews>
  <sheetFormatPr baseColWidth="10" defaultRowHeight="16" x14ac:dyDescent="0.2"/>
  <cols>
    <col min="1" max="1" width="13.6640625" bestFit="1" customWidth="1"/>
    <col min="2" max="2" width="57.6640625" bestFit="1" customWidth="1"/>
    <col min="11" max="11" width="12.1640625" bestFit="1" customWidth="1"/>
    <col min="14" max="14" width="12.1640625" bestFit="1" customWidth="1"/>
  </cols>
  <sheetData>
    <row r="2" spans="1:14" x14ac:dyDescent="0.2">
      <c r="A2" s="2"/>
      <c r="B2" s="2"/>
      <c r="C2" s="2"/>
      <c r="D2" s="2"/>
      <c r="E2" s="3"/>
      <c r="M2" t="s">
        <v>139</v>
      </c>
    </row>
    <row r="3" spans="1:14" x14ac:dyDescent="0.2">
      <c r="A3" s="2"/>
      <c r="B3" s="2"/>
      <c r="C3" s="2"/>
      <c r="D3" s="2"/>
      <c r="E3" s="3"/>
    </row>
    <row r="4" spans="1:14" x14ac:dyDescent="0.2">
      <c r="A4" s="2" t="s">
        <v>136</v>
      </c>
      <c r="B4" s="2" t="s">
        <v>137</v>
      </c>
      <c r="C4" s="2" t="s">
        <v>12</v>
      </c>
      <c r="D4" s="2">
        <v>229230000000</v>
      </c>
      <c r="E4" s="3">
        <v>43009</v>
      </c>
    </row>
    <row r="5" spans="1:14" x14ac:dyDescent="0.2">
      <c r="A5" s="2" t="s">
        <v>136</v>
      </c>
      <c r="B5" s="2" t="s">
        <v>137</v>
      </c>
      <c r="C5" s="2" t="s">
        <v>12</v>
      </c>
      <c r="D5" s="2">
        <v>88293000000</v>
      </c>
      <c r="E5" s="3">
        <v>43100</v>
      </c>
      <c r="K5">
        <f>D5+D6+D7+D11</f>
        <v>265595000000</v>
      </c>
      <c r="M5" s="1">
        <v>43373</v>
      </c>
      <c r="N5">
        <f>D14</f>
        <v>265600000000</v>
      </c>
    </row>
    <row r="6" spans="1:14" x14ac:dyDescent="0.2">
      <c r="A6" s="2" t="s">
        <v>136</v>
      </c>
      <c r="B6" s="2" t="s">
        <v>137</v>
      </c>
      <c r="C6" s="2" t="s">
        <v>12</v>
      </c>
      <c r="D6" s="2">
        <v>61137000000</v>
      </c>
      <c r="E6" s="3">
        <v>43191</v>
      </c>
      <c r="K6">
        <f>D15+D17+D19+D24</f>
        <v>260174000000</v>
      </c>
      <c r="M6" s="1">
        <v>43737</v>
      </c>
      <c r="N6">
        <f>D22</f>
        <v>260170000000</v>
      </c>
    </row>
    <row r="7" spans="1:14" x14ac:dyDescent="0.2">
      <c r="A7" s="2" t="s">
        <v>136</v>
      </c>
      <c r="B7" s="2" t="s">
        <v>137</v>
      </c>
      <c r="C7" s="2" t="s">
        <v>12</v>
      </c>
      <c r="D7" s="2">
        <v>53265000000</v>
      </c>
      <c r="E7" s="3">
        <v>43282</v>
      </c>
      <c r="K7">
        <f>D44+D34+D33+D32</f>
        <v>274515000000</v>
      </c>
      <c r="M7" s="1">
        <v>44101</v>
      </c>
      <c r="N7">
        <f>D41</f>
        <v>274520000000</v>
      </c>
    </row>
    <row r="8" spans="1:14" x14ac:dyDescent="0.2">
      <c r="A8" s="2" t="s">
        <v>136</v>
      </c>
      <c r="B8" s="2" t="s">
        <v>137</v>
      </c>
      <c r="C8" s="2" t="s">
        <v>12</v>
      </c>
      <c r="D8" s="2">
        <v>265600000000</v>
      </c>
      <c r="E8" s="3">
        <v>43373</v>
      </c>
      <c r="M8" s="1">
        <v>44465</v>
      </c>
      <c r="N8" s="2">
        <v>365820000000</v>
      </c>
    </row>
    <row r="9" spans="1:14" x14ac:dyDescent="0.2">
      <c r="A9" s="2" t="s">
        <v>136</v>
      </c>
      <c r="B9" s="2" t="s">
        <v>137</v>
      </c>
      <c r="C9" s="2" t="s">
        <v>12</v>
      </c>
      <c r="D9" s="2">
        <v>265600000000</v>
      </c>
      <c r="E9" s="3">
        <v>43373</v>
      </c>
      <c r="M9" s="1">
        <v>44829</v>
      </c>
      <c r="N9" s="2">
        <v>394330000000</v>
      </c>
    </row>
    <row r="10" spans="1:14" x14ac:dyDescent="0.2">
      <c r="A10" s="2" t="s">
        <v>136</v>
      </c>
      <c r="B10" s="2" t="s">
        <v>137</v>
      </c>
      <c r="C10" s="2" t="s">
        <v>12</v>
      </c>
      <c r="D10" s="2">
        <v>265600000000</v>
      </c>
      <c r="E10" s="3">
        <v>43373</v>
      </c>
      <c r="M10" s="1">
        <v>45200</v>
      </c>
      <c r="N10" s="2">
        <v>383290000000</v>
      </c>
    </row>
    <row r="11" spans="1:14" x14ac:dyDescent="0.2">
      <c r="A11" s="2" t="s">
        <v>136</v>
      </c>
      <c r="B11" s="2" t="s">
        <v>137</v>
      </c>
      <c r="C11" s="2" t="s">
        <v>12</v>
      </c>
      <c r="D11" s="2">
        <v>62900000000</v>
      </c>
      <c r="E11" s="3">
        <v>43373</v>
      </c>
      <c r="M11" s="1">
        <v>45564</v>
      </c>
      <c r="N11" s="2">
        <v>391040000000</v>
      </c>
    </row>
    <row r="12" spans="1:14" x14ac:dyDescent="0.2">
      <c r="A12" s="2" t="s">
        <v>136</v>
      </c>
      <c r="B12" s="2" t="s">
        <v>137</v>
      </c>
      <c r="C12" s="2" t="s">
        <v>12</v>
      </c>
      <c r="D12" s="2">
        <v>265600000000</v>
      </c>
      <c r="E12" s="3">
        <v>43373</v>
      </c>
      <c r="M12" s="1">
        <v>45928</v>
      </c>
      <c r="N12" s="2">
        <v>416160000000</v>
      </c>
    </row>
    <row r="13" spans="1:14" x14ac:dyDescent="0.2">
      <c r="A13" s="2" t="s">
        <v>136</v>
      </c>
      <c r="B13" s="2" t="s">
        <v>137</v>
      </c>
      <c r="C13" s="2" t="s">
        <v>12</v>
      </c>
      <c r="D13" s="2">
        <v>265600000000</v>
      </c>
      <c r="E13" s="3">
        <v>43373</v>
      </c>
    </row>
    <row r="14" spans="1:14" x14ac:dyDescent="0.2">
      <c r="A14" s="2" t="s">
        <v>136</v>
      </c>
      <c r="B14" s="2" t="s">
        <v>137</v>
      </c>
      <c r="C14" s="2" t="s">
        <v>12</v>
      </c>
      <c r="D14" s="2">
        <v>265600000000</v>
      </c>
      <c r="E14" s="3">
        <v>43373</v>
      </c>
    </row>
    <row r="15" spans="1:14" x14ac:dyDescent="0.2">
      <c r="A15" s="2" t="s">
        <v>136</v>
      </c>
      <c r="B15" s="2" t="s">
        <v>137</v>
      </c>
      <c r="C15" s="2" t="s">
        <v>12</v>
      </c>
      <c r="D15" s="2">
        <v>84310000000</v>
      </c>
      <c r="E15" s="3">
        <v>43464</v>
      </c>
    </row>
    <row r="16" spans="1:14" x14ac:dyDescent="0.2">
      <c r="A16" s="2" t="s">
        <v>136</v>
      </c>
      <c r="B16" s="2" t="s">
        <v>137</v>
      </c>
      <c r="C16" s="2" t="s">
        <v>12</v>
      </c>
      <c r="D16" s="2">
        <v>84310000000</v>
      </c>
      <c r="E16" s="3">
        <v>43464</v>
      </c>
    </row>
    <row r="17" spans="1:22" x14ac:dyDescent="0.2">
      <c r="A17" s="2" t="s">
        <v>136</v>
      </c>
      <c r="B17" s="2" t="s">
        <v>137</v>
      </c>
      <c r="C17" s="2" t="s">
        <v>12</v>
      </c>
      <c r="D17" s="2">
        <v>58015000000</v>
      </c>
      <c r="E17" s="3">
        <v>43555</v>
      </c>
    </row>
    <row r="18" spans="1:22" x14ac:dyDescent="0.2">
      <c r="A18" s="2" t="s">
        <v>136</v>
      </c>
      <c r="B18" s="2" t="s">
        <v>137</v>
      </c>
      <c r="C18" s="2" t="s">
        <v>12</v>
      </c>
      <c r="D18" s="2">
        <v>58015000000</v>
      </c>
      <c r="E18" s="3">
        <v>43555</v>
      </c>
    </row>
    <row r="19" spans="1:22" x14ac:dyDescent="0.2">
      <c r="A19" s="2" t="s">
        <v>136</v>
      </c>
      <c r="B19" s="2" t="s">
        <v>137</v>
      </c>
      <c r="C19" s="2" t="s">
        <v>12</v>
      </c>
      <c r="D19" s="2">
        <v>53809000000</v>
      </c>
      <c r="E19" s="3">
        <v>43646</v>
      </c>
    </row>
    <row r="20" spans="1:22" x14ac:dyDescent="0.2">
      <c r="A20" s="2" t="s">
        <v>136</v>
      </c>
      <c r="B20" s="2" t="s">
        <v>137</v>
      </c>
      <c r="C20" s="2" t="s">
        <v>12</v>
      </c>
      <c r="D20" s="2">
        <v>53809000000</v>
      </c>
      <c r="E20" s="3">
        <v>43646</v>
      </c>
    </row>
    <row r="21" spans="1:22" x14ac:dyDescent="0.2">
      <c r="A21" s="2" t="s">
        <v>136</v>
      </c>
      <c r="B21" s="2" t="s">
        <v>137</v>
      </c>
      <c r="C21" s="2" t="s">
        <v>12</v>
      </c>
      <c r="D21" s="2">
        <v>260170000000</v>
      </c>
      <c r="E21" s="3">
        <v>43737</v>
      </c>
    </row>
    <row r="22" spans="1:22" x14ac:dyDescent="0.2">
      <c r="A22" s="2" t="s">
        <v>136</v>
      </c>
      <c r="B22" s="2" t="s">
        <v>137</v>
      </c>
      <c r="C22" s="2" t="s">
        <v>12</v>
      </c>
      <c r="D22" s="2">
        <v>260170000000</v>
      </c>
      <c r="E22" s="3">
        <v>43737</v>
      </c>
    </row>
    <row r="23" spans="1:22" x14ac:dyDescent="0.2">
      <c r="A23" s="2" t="s">
        <v>136</v>
      </c>
      <c r="B23" s="2" t="s">
        <v>137</v>
      </c>
      <c r="C23" s="2" t="s">
        <v>12</v>
      </c>
      <c r="D23" s="2">
        <v>260170000000</v>
      </c>
      <c r="E23" s="3">
        <v>43737</v>
      </c>
    </row>
    <row r="24" spans="1:22" x14ac:dyDescent="0.2">
      <c r="A24" s="2" t="s">
        <v>136</v>
      </c>
      <c r="B24" s="2" t="s">
        <v>137</v>
      </c>
      <c r="C24" s="2" t="s">
        <v>12</v>
      </c>
      <c r="D24" s="2">
        <v>64040000000</v>
      </c>
      <c r="E24" s="3">
        <v>43737</v>
      </c>
    </row>
    <row r="25" spans="1:22" x14ac:dyDescent="0.2">
      <c r="A25" s="2" t="s">
        <v>136</v>
      </c>
      <c r="B25" s="2" t="s">
        <v>137</v>
      </c>
      <c r="C25" s="2" t="s">
        <v>12</v>
      </c>
      <c r="D25" s="2">
        <v>260170000000</v>
      </c>
      <c r="E25" s="3">
        <v>43737</v>
      </c>
      <c r="M25" t="s">
        <v>138</v>
      </c>
      <c r="U25" t="s">
        <v>143</v>
      </c>
    </row>
    <row r="26" spans="1:22" x14ac:dyDescent="0.2">
      <c r="A26" s="2" t="s">
        <v>136</v>
      </c>
      <c r="B26" s="2" t="s">
        <v>137</v>
      </c>
      <c r="C26" s="2" t="s">
        <v>12</v>
      </c>
      <c r="D26" s="2">
        <v>260170000000</v>
      </c>
      <c r="E26" s="3">
        <v>43737</v>
      </c>
      <c r="U26">
        <v>43373</v>
      </c>
      <c r="V26">
        <v>237100000000</v>
      </c>
    </row>
    <row r="27" spans="1:22" x14ac:dyDescent="0.2">
      <c r="A27" s="2" t="s">
        <v>136</v>
      </c>
      <c r="B27" s="2" t="s">
        <v>137</v>
      </c>
      <c r="C27" s="2" t="s">
        <v>12</v>
      </c>
      <c r="D27" s="2">
        <v>260170000000</v>
      </c>
      <c r="E27" s="3">
        <v>43737</v>
      </c>
      <c r="M27" s="1">
        <v>43373</v>
      </c>
      <c r="N27">
        <v>25913000000</v>
      </c>
      <c r="U27">
        <v>43737</v>
      </c>
      <c r="V27">
        <v>205898000000</v>
      </c>
    </row>
    <row r="28" spans="1:22" x14ac:dyDescent="0.2">
      <c r="A28" s="2" t="s">
        <v>136</v>
      </c>
      <c r="B28" s="2" t="s">
        <v>137</v>
      </c>
      <c r="C28" s="2" t="s">
        <v>12</v>
      </c>
      <c r="D28" s="2">
        <v>260170000000</v>
      </c>
      <c r="E28" s="3">
        <v>43737</v>
      </c>
      <c r="M28" s="1">
        <v>43737</v>
      </c>
      <c r="N28">
        <v>48844000000</v>
      </c>
      <c r="U28">
        <v>44101</v>
      </c>
      <c r="V28">
        <v>191830000000</v>
      </c>
    </row>
    <row r="29" spans="1:22" x14ac:dyDescent="0.2">
      <c r="A29" s="2" t="s">
        <v>136</v>
      </c>
      <c r="B29" s="2" t="s">
        <v>137</v>
      </c>
      <c r="C29" s="2" t="s">
        <v>12</v>
      </c>
      <c r="D29" s="2">
        <v>260170000000</v>
      </c>
      <c r="E29" s="3">
        <v>43737</v>
      </c>
      <c r="M29" s="1">
        <v>44101</v>
      </c>
      <c r="N29">
        <v>38016000000</v>
      </c>
      <c r="U29">
        <v>44465</v>
      </c>
      <c r="V29">
        <v>190516000000</v>
      </c>
    </row>
    <row r="30" spans="1:22" x14ac:dyDescent="0.2">
      <c r="A30" s="2" t="s">
        <v>136</v>
      </c>
      <c r="B30" s="2" t="s">
        <v>137</v>
      </c>
      <c r="C30" s="2" t="s">
        <v>12</v>
      </c>
      <c r="D30" s="2">
        <v>260170000000</v>
      </c>
      <c r="E30" s="3">
        <v>43737</v>
      </c>
      <c r="M30" s="1">
        <v>44465</v>
      </c>
      <c r="N30">
        <v>34940000000</v>
      </c>
      <c r="U30">
        <v>44829</v>
      </c>
      <c r="V30">
        <v>169109000000</v>
      </c>
    </row>
    <row r="31" spans="1:22" x14ac:dyDescent="0.2">
      <c r="A31" s="2" t="s">
        <v>136</v>
      </c>
      <c r="B31" s="2" t="s">
        <v>137</v>
      </c>
      <c r="C31" s="2" t="s">
        <v>12</v>
      </c>
      <c r="D31" s="2">
        <v>64040000000</v>
      </c>
      <c r="E31" s="3">
        <v>43737</v>
      </c>
      <c r="M31" s="1">
        <v>44829</v>
      </c>
      <c r="N31">
        <v>23646000000</v>
      </c>
      <c r="U31">
        <v>45200</v>
      </c>
      <c r="V31">
        <v>162099000000</v>
      </c>
    </row>
    <row r="32" spans="1:22" x14ac:dyDescent="0.2">
      <c r="A32" s="2" t="s">
        <v>136</v>
      </c>
      <c r="B32" s="2" t="s">
        <v>137</v>
      </c>
      <c r="C32" s="2" t="s">
        <v>12</v>
      </c>
      <c r="D32" s="2">
        <v>91819000000</v>
      </c>
      <c r="E32" s="3">
        <v>43828</v>
      </c>
      <c r="M32" s="1">
        <v>45200</v>
      </c>
      <c r="N32">
        <v>29965000000</v>
      </c>
      <c r="U32">
        <v>45564</v>
      </c>
      <c r="V32">
        <v>156650000000</v>
      </c>
    </row>
    <row r="33" spans="1:22" x14ac:dyDescent="0.2">
      <c r="A33" s="2" t="s">
        <v>136</v>
      </c>
      <c r="B33" s="2" t="s">
        <v>137</v>
      </c>
      <c r="C33" s="2" t="s">
        <v>12</v>
      </c>
      <c r="D33" s="2">
        <v>58313000000</v>
      </c>
      <c r="E33" s="3">
        <v>43919</v>
      </c>
      <c r="M33" s="1">
        <v>45564</v>
      </c>
      <c r="N33">
        <v>29943000000</v>
      </c>
      <c r="U33">
        <v>45928</v>
      </c>
      <c r="V33">
        <v>132420000000</v>
      </c>
    </row>
    <row r="34" spans="1:22" x14ac:dyDescent="0.2">
      <c r="A34" s="2" t="s">
        <v>136</v>
      </c>
      <c r="B34" s="2" t="s">
        <v>137</v>
      </c>
      <c r="C34" s="2" t="s">
        <v>12</v>
      </c>
      <c r="D34" s="2">
        <v>59685000000</v>
      </c>
      <c r="E34" s="3">
        <v>44010</v>
      </c>
      <c r="M34" s="1">
        <v>45928</v>
      </c>
      <c r="N34">
        <v>35934000000</v>
      </c>
    </row>
    <row r="35" spans="1:22" x14ac:dyDescent="0.2">
      <c r="A35" s="2" t="s">
        <v>136</v>
      </c>
      <c r="B35" s="2" t="s">
        <v>137</v>
      </c>
      <c r="C35" s="2" t="s">
        <v>12</v>
      </c>
      <c r="D35" s="2">
        <v>274520000000</v>
      </c>
      <c r="E35" s="3">
        <v>44101</v>
      </c>
    </row>
    <row r="36" spans="1:22" x14ac:dyDescent="0.2">
      <c r="A36" s="2" t="s">
        <v>136</v>
      </c>
      <c r="B36" s="2" t="s">
        <v>137</v>
      </c>
      <c r="C36" s="2" t="s">
        <v>12</v>
      </c>
      <c r="D36" s="2">
        <v>274520000000</v>
      </c>
      <c r="E36" s="3">
        <v>44101</v>
      </c>
    </row>
    <row r="37" spans="1:22" x14ac:dyDescent="0.2">
      <c r="A37" s="2" t="s">
        <v>136</v>
      </c>
      <c r="B37" s="2" t="s">
        <v>137</v>
      </c>
      <c r="C37" s="2" t="s">
        <v>12</v>
      </c>
      <c r="D37" s="2">
        <v>274520000000</v>
      </c>
      <c r="E37" s="3">
        <v>44101</v>
      </c>
    </row>
    <row r="38" spans="1:22" x14ac:dyDescent="0.2">
      <c r="A38" s="2" t="s">
        <v>136</v>
      </c>
      <c r="B38" s="2" t="s">
        <v>137</v>
      </c>
      <c r="C38" s="2" t="s">
        <v>12</v>
      </c>
      <c r="D38" s="2">
        <v>274520000000</v>
      </c>
      <c r="E38" s="3">
        <v>44101</v>
      </c>
    </row>
    <row r="39" spans="1:22" x14ac:dyDescent="0.2">
      <c r="A39" s="2" t="s">
        <v>136</v>
      </c>
      <c r="B39" s="2" t="s">
        <v>137</v>
      </c>
      <c r="C39" s="2" t="s">
        <v>12</v>
      </c>
      <c r="D39" s="2">
        <v>274520000000</v>
      </c>
      <c r="E39" s="3">
        <v>44101</v>
      </c>
    </row>
    <row r="40" spans="1:22" x14ac:dyDescent="0.2">
      <c r="A40" s="2" t="s">
        <v>136</v>
      </c>
      <c r="B40" s="2" t="s">
        <v>137</v>
      </c>
      <c r="C40" s="2" t="s">
        <v>12</v>
      </c>
      <c r="D40" s="2">
        <v>274520000000</v>
      </c>
      <c r="E40" s="3">
        <v>44101</v>
      </c>
    </row>
    <row r="41" spans="1:22" x14ac:dyDescent="0.2">
      <c r="A41" s="2" t="s">
        <v>136</v>
      </c>
      <c r="B41" s="2" t="s">
        <v>137</v>
      </c>
      <c r="C41" s="2" t="s">
        <v>12</v>
      </c>
      <c r="D41" s="2">
        <v>274520000000</v>
      </c>
      <c r="E41" s="3">
        <v>44101</v>
      </c>
    </row>
    <row r="42" spans="1:22" x14ac:dyDescent="0.2">
      <c r="A42" s="2" t="s">
        <v>136</v>
      </c>
      <c r="B42" s="2" t="s">
        <v>137</v>
      </c>
      <c r="C42" s="2" t="s">
        <v>12</v>
      </c>
      <c r="D42" s="2">
        <v>274520000000</v>
      </c>
      <c r="E42" s="3">
        <v>44101</v>
      </c>
    </row>
    <row r="43" spans="1:22" x14ac:dyDescent="0.2">
      <c r="A43" s="2" t="s">
        <v>136</v>
      </c>
      <c r="B43" s="2" t="s">
        <v>137</v>
      </c>
      <c r="C43" s="2" t="s">
        <v>12</v>
      </c>
      <c r="D43" s="2">
        <v>274520000000</v>
      </c>
      <c r="E43" s="3">
        <v>44101</v>
      </c>
    </row>
    <row r="44" spans="1:22" x14ac:dyDescent="0.2">
      <c r="A44" s="2" t="s">
        <v>136</v>
      </c>
      <c r="B44" s="2" t="s">
        <v>137</v>
      </c>
      <c r="C44" s="2" t="s">
        <v>12</v>
      </c>
      <c r="D44" s="2">
        <v>64698000000</v>
      </c>
      <c r="E44" s="3">
        <v>44101</v>
      </c>
    </row>
    <row r="45" spans="1:22" x14ac:dyDescent="0.2">
      <c r="A45" s="2" t="s">
        <v>136</v>
      </c>
      <c r="B45" s="2" t="s">
        <v>137</v>
      </c>
      <c r="C45" s="2" t="s">
        <v>12</v>
      </c>
      <c r="D45" s="2">
        <v>365820000000</v>
      </c>
      <c r="E45" s="3">
        <v>44465</v>
      </c>
    </row>
    <row r="46" spans="1:22" x14ac:dyDescent="0.2">
      <c r="A46" s="2" t="s">
        <v>136</v>
      </c>
      <c r="B46" s="2" t="s">
        <v>137</v>
      </c>
      <c r="C46" s="2" t="s">
        <v>12</v>
      </c>
      <c r="D46" s="2">
        <v>365820000000</v>
      </c>
      <c r="E46" s="3">
        <v>44465</v>
      </c>
    </row>
    <row r="47" spans="1:22" x14ac:dyDescent="0.2">
      <c r="A47" s="2" t="s">
        <v>136</v>
      </c>
      <c r="B47" s="2" t="s">
        <v>137</v>
      </c>
      <c r="C47" s="2" t="s">
        <v>12</v>
      </c>
      <c r="D47" s="2">
        <v>365820000000</v>
      </c>
      <c r="E47" s="3">
        <v>44465</v>
      </c>
    </row>
    <row r="48" spans="1:22" x14ac:dyDescent="0.2">
      <c r="A48" s="2" t="s">
        <v>136</v>
      </c>
      <c r="B48" s="2" t="s">
        <v>137</v>
      </c>
      <c r="C48" s="2" t="s">
        <v>12</v>
      </c>
      <c r="D48" s="2">
        <v>365820000000</v>
      </c>
      <c r="E48" s="3">
        <v>44465</v>
      </c>
    </row>
    <row r="49" spans="1:17" x14ac:dyDescent="0.2">
      <c r="A49" s="2" t="s">
        <v>136</v>
      </c>
      <c r="B49" s="2" t="s">
        <v>137</v>
      </c>
      <c r="C49" s="2" t="s">
        <v>12</v>
      </c>
      <c r="D49" s="2">
        <v>365820000000</v>
      </c>
      <c r="E49" s="3">
        <v>44465</v>
      </c>
    </row>
    <row r="50" spans="1:17" x14ac:dyDescent="0.2">
      <c r="A50" s="2" t="s">
        <v>136</v>
      </c>
      <c r="B50" s="2" t="s">
        <v>137</v>
      </c>
      <c r="C50" s="2" t="s">
        <v>12</v>
      </c>
      <c r="D50" s="2">
        <v>365820000000</v>
      </c>
      <c r="E50" s="3">
        <v>44465</v>
      </c>
    </row>
    <row r="51" spans="1:17" x14ac:dyDescent="0.2">
      <c r="A51" s="2" t="s">
        <v>136</v>
      </c>
      <c r="B51" s="2" t="s">
        <v>137</v>
      </c>
      <c r="C51" s="2" t="s">
        <v>12</v>
      </c>
      <c r="D51" s="2">
        <v>365820000000</v>
      </c>
      <c r="E51" s="3">
        <v>44465</v>
      </c>
    </row>
    <row r="52" spans="1:17" x14ac:dyDescent="0.2">
      <c r="A52" s="2" t="s">
        <v>136</v>
      </c>
      <c r="B52" s="2" t="s">
        <v>137</v>
      </c>
      <c r="C52" s="2" t="s">
        <v>12</v>
      </c>
      <c r="D52" s="2">
        <v>365820000000</v>
      </c>
      <c r="E52" s="3">
        <v>44465</v>
      </c>
    </row>
    <row r="53" spans="1:17" x14ac:dyDescent="0.2">
      <c r="A53" s="2" t="s">
        <v>136</v>
      </c>
      <c r="B53" s="2" t="s">
        <v>137</v>
      </c>
      <c r="C53" s="2" t="s">
        <v>12</v>
      </c>
      <c r="D53" s="2">
        <v>365820000000</v>
      </c>
      <c r="E53" s="3">
        <v>44465</v>
      </c>
    </row>
    <row r="54" spans="1:17" x14ac:dyDescent="0.2">
      <c r="A54" s="2" t="s">
        <v>136</v>
      </c>
      <c r="B54" s="2" t="s">
        <v>137</v>
      </c>
      <c r="C54" s="2" t="s">
        <v>12</v>
      </c>
      <c r="D54" s="2">
        <v>394330000000</v>
      </c>
      <c r="E54" s="3">
        <v>44829</v>
      </c>
    </row>
    <row r="55" spans="1:17" x14ac:dyDescent="0.2">
      <c r="A55" s="2" t="s">
        <v>136</v>
      </c>
      <c r="B55" s="2" t="s">
        <v>137</v>
      </c>
      <c r="C55" s="2" t="s">
        <v>12</v>
      </c>
      <c r="D55" s="2">
        <v>394330000000</v>
      </c>
      <c r="E55" s="3">
        <v>44829</v>
      </c>
    </row>
    <row r="56" spans="1:17" x14ac:dyDescent="0.2">
      <c r="A56" s="2" t="s">
        <v>136</v>
      </c>
      <c r="B56" s="2" t="s">
        <v>137</v>
      </c>
      <c r="C56" s="2" t="s">
        <v>12</v>
      </c>
      <c r="D56" s="2">
        <v>394330000000</v>
      </c>
      <c r="E56" s="3">
        <v>44829</v>
      </c>
    </row>
    <row r="57" spans="1:17" x14ac:dyDescent="0.2">
      <c r="A57" s="2" t="s">
        <v>136</v>
      </c>
      <c r="B57" s="2" t="s">
        <v>137</v>
      </c>
      <c r="C57" s="2" t="s">
        <v>12</v>
      </c>
      <c r="D57" s="2">
        <v>394330000000</v>
      </c>
      <c r="E57" s="3">
        <v>44829</v>
      </c>
    </row>
    <row r="58" spans="1:17" x14ac:dyDescent="0.2">
      <c r="A58" s="2" t="s">
        <v>136</v>
      </c>
      <c r="B58" s="2" t="s">
        <v>137</v>
      </c>
      <c r="C58" s="2" t="s">
        <v>12</v>
      </c>
      <c r="D58" s="2">
        <v>394330000000</v>
      </c>
      <c r="E58" s="3">
        <v>44829</v>
      </c>
    </row>
    <row r="59" spans="1:17" x14ac:dyDescent="0.2">
      <c r="A59" s="2" t="s">
        <v>136</v>
      </c>
      <c r="B59" s="2" t="s">
        <v>137</v>
      </c>
      <c r="C59" s="2" t="s">
        <v>12</v>
      </c>
      <c r="D59" s="2">
        <v>394330000000</v>
      </c>
      <c r="E59" s="3">
        <v>44829</v>
      </c>
    </row>
    <row r="60" spans="1:17" x14ac:dyDescent="0.2">
      <c r="A60" s="2" t="s">
        <v>136</v>
      </c>
      <c r="B60" s="2" t="s">
        <v>137</v>
      </c>
      <c r="C60" s="2" t="s">
        <v>12</v>
      </c>
      <c r="D60" s="2">
        <v>394330000000</v>
      </c>
      <c r="E60" s="3">
        <v>44829</v>
      </c>
    </row>
    <row r="61" spans="1:17" x14ac:dyDescent="0.2">
      <c r="A61" s="2" t="s">
        <v>136</v>
      </c>
      <c r="B61" s="2" t="s">
        <v>137</v>
      </c>
      <c r="C61" s="2" t="s">
        <v>12</v>
      </c>
      <c r="D61" s="2">
        <v>394330000000</v>
      </c>
      <c r="E61" s="3">
        <v>44829</v>
      </c>
    </row>
    <row r="62" spans="1:17" x14ac:dyDescent="0.2">
      <c r="A62" s="2" t="s">
        <v>136</v>
      </c>
      <c r="B62" s="2" t="s">
        <v>137</v>
      </c>
      <c r="C62" s="2" t="s">
        <v>12</v>
      </c>
      <c r="D62" s="2">
        <v>394330000000</v>
      </c>
      <c r="E62" s="3">
        <v>44829</v>
      </c>
      <c r="Q62" s="1"/>
    </row>
    <row r="63" spans="1:17" x14ac:dyDescent="0.2">
      <c r="A63" s="2" t="s">
        <v>136</v>
      </c>
      <c r="B63" s="2" t="s">
        <v>137</v>
      </c>
      <c r="C63" s="2" t="s">
        <v>12</v>
      </c>
      <c r="D63" s="2">
        <v>383290000000</v>
      </c>
      <c r="E63" s="3">
        <v>45200</v>
      </c>
      <c r="Q63" s="1"/>
    </row>
    <row r="64" spans="1:17" x14ac:dyDescent="0.2">
      <c r="A64" s="2" t="s">
        <v>136</v>
      </c>
      <c r="B64" s="2" t="s">
        <v>137</v>
      </c>
      <c r="C64" s="2" t="s">
        <v>12</v>
      </c>
      <c r="D64" s="2">
        <v>383290000000</v>
      </c>
      <c r="E64" s="3">
        <v>45200</v>
      </c>
      <c r="Q64" s="1"/>
    </row>
    <row r="65" spans="1:17" x14ac:dyDescent="0.2">
      <c r="A65" s="2" t="s">
        <v>136</v>
      </c>
      <c r="B65" s="2" t="s">
        <v>137</v>
      </c>
      <c r="C65" s="2" t="s">
        <v>12</v>
      </c>
      <c r="D65" s="2">
        <v>383290000000</v>
      </c>
      <c r="E65" s="3">
        <v>45200</v>
      </c>
      <c r="Q65" s="1"/>
    </row>
    <row r="66" spans="1:17" x14ac:dyDescent="0.2">
      <c r="A66" s="2" t="s">
        <v>136</v>
      </c>
      <c r="B66" s="2" t="s">
        <v>137</v>
      </c>
      <c r="C66" s="2" t="s">
        <v>12</v>
      </c>
      <c r="D66" s="2">
        <v>383290000000</v>
      </c>
      <c r="E66" s="3">
        <v>45200</v>
      </c>
      <c r="Q66" s="1"/>
    </row>
    <row r="67" spans="1:17" x14ac:dyDescent="0.2">
      <c r="A67" s="2" t="s">
        <v>136</v>
      </c>
      <c r="B67" s="2" t="s">
        <v>137</v>
      </c>
      <c r="C67" s="2" t="s">
        <v>12</v>
      </c>
      <c r="D67" s="2">
        <v>383290000000</v>
      </c>
      <c r="E67" s="3">
        <v>45200</v>
      </c>
      <c r="Q67" s="1"/>
    </row>
    <row r="68" spans="1:17" x14ac:dyDescent="0.2">
      <c r="A68" s="2" t="s">
        <v>136</v>
      </c>
      <c r="B68" s="2" t="s">
        <v>137</v>
      </c>
      <c r="C68" s="2" t="s">
        <v>12</v>
      </c>
      <c r="D68" s="2">
        <v>383290000000</v>
      </c>
      <c r="E68" s="3">
        <v>45200</v>
      </c>
      <c r="Q68" s="1"/>
    </row>
    <row r="69" spans="1:17" x14ac:dyDescent="0.2">
      <c r="A69" s="2" t="s">
        <v>136</v>
      </c>
      <c r="B69" s="2" t="s">
        <v>137</v>
      </c>
      <c r="C69" s="2" t="s">
        <v>12</v>
      </c>
      <c r="D69" s="2">
        <v>383290000000</v>
      </c>
      <c r="E69" s="3">
        <v>45200</v>
      </c>
      <c r="Q69" s="1"/>
    </row>
    <row r="70" spans="1:17" x14ac:dyDescent="0.2">
      <c r="A70" s="2" t="s">
        <v>136</v>
      </c>
      <c r="B70" s="2" t="s">
        <v>137</v>
      </c>
      <c r="C70" s="2" t="s">
        <v>12</v>
      </c>
      <c r="D70" s="2">
        <v>383290000000</v>
      </c>
      <c r="E70" s="3">
        <v>45200</v>
      </c>
    </row>
    <row r="71" spans="1:17" x14ac:dyDescent="0.2">
      <c r="A71" s="2" t="s">
        <v>136</v>
      </c>
      <c r="B71" s="2" t="s">
        <v>137</v>
      </c>
      <c r="C71" s="2" t="s">
        <v>12</v>
      </c>
      <c r="D71" s="2">
        <v>383290000000</v>
      </c>
      <c r="E71" s="3">
        <v>45200</v>
      </c>
    </row>
    <row r="72" spans="1:17" x14ac:dyDescent="0.2">
      <c r="A72" s="2" t="s">
        <v>136</v>
      </c>
      <c r="B72" s="2" t="s">
        <v>137</v>
      </c>
      <c r="C72" s="2" t="s">
        <v>12</v>
      </c>
      <c r="D72" s="2">
        <v>383290000000</v>
      </c>
      <c r="E72" s="3">
        <v>45200</v>
      </c>
    </row>
    <row r="73" spans="1:17" x14ac:dyDescent="0.2">
      <c r="A73" s="2" t="s">
        <v>136</v>
      </c>
      <c r="B73" s="2" t="s">
        <v>137</v>
      </c>
      <c r="C73" s="2" t="s">
        <v>12</v>
      </c>
      <c r="D73" s="2">
        <v>391040000000</v>
      </c>
      <c r="E73" s="3">
        <v>45564</v>
      </c>
    </row>
    <row r="74" spans="1:17" x14ac:dyDescent="0.2">
      <c r="A74" s="2" t="s">
        <v>136</v>
      </c>
      <c r="B74" s="2" t="s">
        <v>137</v>
      </c>
      <c r="C74" s="2" t="s">
        <v>12</v>
      </c>
      <c r="D74" s="2">
        <v>391040000000</v>
      </c>
      <c r="E74" s="3">
        <v>45564</v>
      </c>
    </row>
    <row r="75" spans="1:17" x14ac:dyDescent="0.2">
      <c r="A75" s="2" t="s">
        <v>136</v>
      </c>
      <c r="B75" s="2" t="s">
        <v>137</v>
      </c>
      <c r="C75" s="2" t="s">
        <v>12</v>
      </c>
      <c r="D75" s="2">
        <v>391040000000</v>
      </c>
      <c r="E75" s="3">
        <v>45564</v>
      </c>
    </row>
    <row r="76" spans="1:17" x14ac:dyDescent="0.2">
      <c r="A76" s="2" t="s">
        <v>136</v>
      </c>
      <c r="B76" s="2" t="s">
        <v>137</v>
      </c>
      <c r="C76" s="2" t="s">
        <v>12</v>
      </c>
      <c r="D76" s="2">
        <v>391040000000</v>
      </c>
      <c r="E76" s="3">
        <v>45564</v>
      </c>
    </row>
    <row r="77" spans="1:17" x14ac:dyDescent="0.2">
      <c r="A77" s="2" t="s">
        <v>136</v>
      </c>
      <c r="B77" s="2" t="s">
        <v>137</v>
      </c>
      <c r="C77" s="2" t="s">
        <v>12</v>
      </c>
      <c r="D77" s="2">
        <v>391040000000</v>
      </c>
      <c r="E77" s="3">
        <v>45564</v>
      </c>
    </row>
    <row r="78" spans="1:17" x14ac:dyDescent="0.2">
      <c r="A78" s="2" t="s">
        <v>136</v>
      </c>
      <c r="B78" s="2" t="s">
        <v>137</v>
      </c>
      <c r="C78" s="2" t="s">
        <v>12</v>
      </c>
      <c r="D78" s="2">
        <v>391040000000</v>
      </c>
      <c r="E78" s="3">
        <v>45564</v>
      </c>
    </row>
    <row r="79" spans="1:17" x14ac:dyDescent="0.2">
      <c r="A79" s="2" t="s">
        <v>136</v>
      </c>
      <c r="B79" s="2" t="s">
        <v>137</v>
      </c>
      <c r="C79" s="2" t="s">
        <v>12</v>
      </c>
      <c r="D79" s="2">
        <v>391040000000</v>
      </c>
      <c r="E79" s="3">
        <v>45564</v>
      </c>
    </row>
    <row r="80" spans="1:17" x14ac:dyDescent="0.2">
      <c r="A80" s="2" t="s">
        <v>136</v>
      </c>
      <c r="B80" s="2" t="s">
        <v>137</v>
      </c>
      <c r="C80" s="2" t="s">
        <v>12</v>
      </c>
      <c r="D80" s="2">
        <v>416160000000</v>
      </c>
      <c r="E80" s="3">
        <v>45928</v>
      </c>
    </row>
    <row r="81" spans="1:5" x14ac:dyDescent="0.2">
      <c r="A81" s="2" t="s">
        <v>136</v>
      </c>
      <c r="B81" s="2" t="s">
        <v>137</v>
      </c>
      <c r="C81" s="2" t="s">
        <v>12</v>
      </c>
      <c r="D81" s="2">
        <v>416160000000</v>
      </c>
      <c r="E81" s="3">
        <v>45928</v>
      </c>
    </row>
    <row r="82" spans="1:5" x14ac:dyDescent="0.2">
      <c r="A82" s="2" t="s">
        <v>136</v>
      </c>
      <c r="B82" s="2" t="s">
        <v>137</v>
      </c>
      <c r="C82" s="2" t="s">
        <v>12</v>
      </c>
      <c r="D82" s="2">
        <v>416160000000</v>
      </c>
      <c r="E82" s="3">
        <v>45928</v>
      </c>
    </row>
    <row r="83" spans="1:5" x14ac:dyDescent="0.2">
      <c r="A83" s="2" t="s">
        <v>136</v>
      </c>
      <c r="B83" s="2" t="s">
        <v>137</v>
      </c>
      <c r="C83" s="2" t="s">
        <v>12</v>
      </c>
      <c r="D83" s="2">
        <v>416160000000</v>
      </c>
      <c r="E83" s="3">
        <v>45928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48"/>
  <sheetViews>
    <sheetView topLeftCell="A64" zoomScale="50" zoomScaleNormal="135" workbookViewId="0">
      <selection activeCell="AX62" sqref="AX62"/>
    </sheetView>
  </sheetViews>
  <sheetFormatPr baseColWidth="10" defaultRowHeight="16" x14ac:dyDescent="0.2"/>
  <cols>
    <col min="1" max="1" width="27.33203125" bestFit="1" customWidth="1"/>
    <col min="2" max="2" width="10" customWidth="1"/>
    <col min="3" max="3" width="10.5" customWidth="1"/>
    <col min="4" max="4" width="11.6640625" bestFit="1" customWidth="1"/>
    <col min="10" max="10" width="31" bestFit="1" customWidth="1"/>
    <col min="11" max="11" width="10.5" customWidth="1"/>
    <col min="12" max="12" width="13.5" bestFit="1" customWidth="1"/>
    <col min="13" max="13" width="13.83203125" bestFit="1" customWidth="1"/>
    <col min="14" max="14" width="11.1640625" bestFit="1" customWidth="1"/>
    <col min="15" max="15" width="11.33203125" customWidth="1"/>
    <col min="16" max="16" width="11" bestFit="1" customWidth="1"/>
    <col min="18" max="18" width="12.33203125" customWidth="1"/>
    <col min="19" max="19" width="24.83203125" customWidth="1"/>
    <col min="20" max="20" width="11.1640625" customWidth="1"/>
    <col min="21" max="21" width="14" customWidth="1"/>
    <col min="22" max="22" width="13.83203125" bestFit="1" customWidth="1"/>
    <col min="23" max="23" width="11.5" bestFit="1" customWidth="1"/>
    <col min="25" max="25" width="30.33203125" bestFit="1" customWidth="1"/>
    <col min="26" max="26" width="13.5" bestFit="1" customWidth="1"/>
    <col min="27" max="27" width="12.83203125" bestFit="1" customWidth="1"/>
    <col min="28" max="28" width="10.1640625" customWidth="1"/>
    <col min="29" max="29" width="11.33203125" customWidth="1"/>
    <col min="30" max="30" width="11.83203125" customWidth="1"/>
    <col min="31" max="31" width="10.83203125" customWidth="1"/>
    <col min="32" max="32" width="12.5" bestFit="1" customWidth="1"/>
    <col min="34" max="34" width="9.6640625" customWidth="1"/>
    <col min="38" max="38" width="11.1640625" bestFit="1" customWidth="1"/>
    <col min="39" max="39" width="15.83203125" bestFit="1" customWidth="1"/>
    <col min="40" max="40" width="11.83203125" bestFit="1" customWidth="1"/>
    <col min="41" max="41" width="11" bestFit="1" customWidth="1"/>
  </cols>
  <sheetData>
    <row r="1" spans="1:41" x14ac:dyDescent="0.2">
      <c r="A1" t="s">
        <v>102</v>
      </c>
      <c r="J1" t="s">
        <v>103</v>
      </c>
      <c r="O1" t="s">
        <v>104</v>
      </c>
      <c r="P1" t="s">
        <v>135</v>
      </c>
      <c r="S1" t="s">
        <v>105</v>
      </c>
      <c r="Z1" s="7" t="s">
        <v>133</v>
      </c>
      <c r="AA1" s="7"/>
      <c r="AB1" s="7"/>
      <c r="AC1" s="7"/>
      <c r="AD1" s="7"/>
      <c r="AE1" s="7"/>
      <c r="AF1" s="7"/>
    </row>
    <row r="2" spans="1:41" x14ac:dyDescent="0.2">
      <c r="A2" t="s">
        <v>56</v>
      </c>
      <c r="B2" t="s">
        <v>12</v>
      </c>
      <c r="C2">
        <v>8784000000</v>
      </c>
      <c r="D2" s="1">
        <v>43373</v>
      </c>
      <c r="J2" t="s">
        <v>58</v>
      </c>
      <c r="K2" t="s">
        <v>12</v>
      </c>
      <c r="L2">
        <v>93735000000</v>
      </c>
      <c r="O2">
        <f>C2+L2</f>
        <v>102519000000</v>
      </c>
      <c r="P2">
        <f>C2/O2</f>
        <v>8.5681678518128343E-2</v>
      </c>
      <c r="S2" t="s">
        <v>54</v>
      </c>
      <c r="T2" t="s">
        <v>12</v>
      </c>
      <c r="U2">
        <v>11964000000</v>
      </c>
      <c r="V2" s="1">
        <v>43373</v>
      </c>
      <c r="AA2" t="s">
        <v>104</v>
      </c>
      <c r="AB2" t="s">
        <v>105</v>
      </c>
      <c r="AC2" t="s">
        <v>108</v>
      </c>
      <c r="AD2" t="s">
        <v>109</v>
      </c>
      <c r="AE2" t="s">
        <v>114</v>
      </c>
      <c r="AF2" t="s">
        <v>110</v>
      </c>
      <c r="AH2" t="s">
        <v>134</v>
      </c>
      <c r="AI2" t="s">
        <v>115</v>
      </c>
      <c r="AL2" t="s">
        <v>107</v>
      </c>
    </row>
    <row r="3" spans="1:41" x14ac:dyDescent="0.2">
      <c r="A3" t="s">
        <v>56</v>
      </c>
      <c r="B3" t="s">
        <v>12</v>
      </c>
      <c r="C3">
        <v>8784000000</v>
      </c>
      <c r="D3" s="1">
        <v>43373</v>
      </c>
      <c r="J3" t="s">
        <v>58</v>
      </c>
      <c r="K3" t="s">
        <v>12</v>
      </c>
      <c r="L3">
        <v>93735000000</v>
      </c>
      <c r="O3">
        <f t="shared" ref="O3:O29" si="0">C3+L3</f>
        <v>102519000000</v>
      </c>
      <c r="P3">
        <f t="shared" ref="P3:P29" si="1">C3/O3</f>
        <v>8.5681678518128343E-2</v>
      </c>
      <c r="S3" t="s">
        <v>54</v>
      </c>
      <c r="T3" t="s">
        <v>12</v>
      </c>
      <c r="U3">
        <v>12000000000</v>
      </c>
      <c r="V3" s="1">
        <v>43373</v>
      </c>
      <c r="Z3" s="1">
        <v>43373</v>
      </c>
      <c r="AA3">
        <v>102519000000</v>
      </c>
      <c r="AB3">
        <v>12000000000</v>
      </c>
      <c r="AC3">
        <v>55888000000</v>
      </c>
      <c r="AD3">
        <f>T123+AC123</f>
        <v>82241000000</v>
      </c>
      <c r="AE3">
        <v>8800000000</v>
      </c>
      <c r="AF3">
        <f>SUM(AA3:AE3)</f>
        <v>261448000000</v>
      </c>
      <c r="AH3">
        <f>(AF3-AN3)</f>
        <v>2870000000</v>
      </c>
      <c r="AI3">
        <f t="shared" ref="AI3:AI9" si="2">(AF3-AN3)/AN3</f>
        <v>1.1099165435574565E-2</v>
      </c>
      <c r="AL3" t="s">
        <v>62</v>
      </c>
      <c r="AM3" t="s">
        <v>12</v>
      </c>
      <c r="AN3">
        <v>258578000000</v>
      </c>
      <c r="AO3" s="1">
        <v>43373</v>
      </c>
    </row>
    <row r="4" spans="1:41" x14ac:dyDescent="0.2">
      <c r="A4" t="s">
        <v>56</v>
      </c>
      <c r="B4" t="s">
        <v>12</v>
      </c>
      <c r="C4">
        <v>10260000000</v>
      </c>
      <c r="D4" s="1">
        <v>43737</v>
      </c>
      <c r="J4" t="s">
        <v>58</v>
      </c>
      <c r="K4" t="s">
        <v>12</v>
      </c>
      <c r="L4">
        <v>91807000000</v>
      </c>
      <c r="O4">
        <f t="shared" si="0"/>
        <v>102067000000</v>
      </c>
      <c r="P4">
        <f t="shared" si="1"/>
        <v>0.1005222060019399</v>
      </c>
      <c r="S4" t="s">
        <v>54</v>
      </c>
      <c r="T4" t="s">
        <v>12</v>
      </c>
      <c r="U4">
        <v>5980000000</v>
      </c>
      <c r="V4" s="1">
        <v>43737</v>
      </c>
      <c r="Z4" s="1">
        <v>43737</v>
      </c>
      <c r="AA4">
        <v>102067000000</v>
      </c>
      <c r="AB4">
        <v>6000000000</v>
      </c>
      <c r="AC4">
        <v>46236000000</v>
      </c>
      <c r="AD4">
        <f t="shared" ref="AD4:AD10" si="3">T124+AC124</f>
        <v>88223000000</v>
      </c>
      <c r="AE4">
        <v>8100000000</v>
      </c>
      <c r="AF4">
        <f t="shared" ref="AF4:AF9" si="4">SUM(AA4:AE4)</f>
        <v>250626000000</v>
      </c>
      <c r="AH4">
        <f t="shared" ref="AH4:AH10" si="5">(AF4-AN4)</f>
        <v>2598000000</v>
      </c>
      <c r="AI4">
        <f t="shared" si="2"/>
        <v>1.0474623832793071E-2</v>
      </c>
      <c r="AL4" t="s">
        <v>62</v>
      </c>
      <c r="AM4" t="s">
        <v>12</v>
      </c>
      <c r="AN4">
        <v>248028000000</v>
      </c>
      <c r="AO4" s="1">
        <v>43737</v>
      </c>
    </row>
    <row r="5" spans="1:41" x14ac:dyDescent="0.2">
      <c r="A5" t="s">
        <v>56</v>
      </c>
      <c r="B5" t="s">
        <v>12</v>
      </c>
      <c r="C5">
        <v>10260000000</v>
      </c>
      <c r="D5" s="1">
        <v>43737</v>
      </c>
      <c r="J5" t="s">
        <v>58</v>
      </c>
      <c r="K5" t="s">
        <v>12</v>
      </c>
      <c r="L5">
        <v>91807000000</v>
      </c>
      <c r="O5">
        <f t="shared" si="0"/>
        <v>102067000000</v>
      </c>
      <c r="P5">
        <f t="shared" si="1"/>
        <v>0.1005222060019399</v>
      </c>
      <c r="S5" t="s">
        <v>54</v>
      </c>
      <c r="T5" t="s">
        <v>12</v>
      </c>
      <c r="U5">
        <v>6000000000</v>
      </c>
      <c r="V5" s="1">
        <v>43737</v>
      </c>
      <c r="Z5" s="1">
        <v>44101</v>
      </c>
      <c r="AA5">
        <v>107440000000</v>
      </c>
      <c r="AB5">
        <v>5000000000</v>
      </c>
      <c r="AC5">
        <v>42296000000</v>
      </c>
      <c r="AD5">
        <f t="shared" si="3"/>
        <v>97174000000</v>
      </c>
      <c r="AE5">
        <v>10200000000</v>
      </c>
      <c r="AF5">
        <f t="shared" si="4"/>
        <v>262110000000</v>
      </c>
      <c r="AH5">
        <f t="shared" si="5"/>
        <v>3561000000</v>
      </c>
      <c r="AI5">
        <f t="shared" si="2"/>
        <v>1.3773017880556491E-2</v>
      </c>
      <c r="AL5" t="s">
        <v>62</v>
      </c>
      <c r="AM5" t="s">
        <v>12</v>
      </c>
      <c r="AN5">
        <v>258549000000</v>
      </c>
      <c r="AO5" s="1">
        <v>44101</v>
      </c>
    </row>
    <row r="6" spans="1:41" x14ac:dyDescent="0.2">
      <c r="A6" t="s">
        <v>56</v>
      </c>
      <c r="B6" t="s">
        <v>12</v>
      </c>
      <c r="C6">
        <v>10260000000</v>
      </c>
      <c r="D6" s="1">
        <v>43737</v>
      </c>
      <c r="J6" t="s">
        <v>58</v>
      </c>
      <c r="K6" t="s">
        <v>12</v>
      </c>
      <c r="L6">
        <v>91807000000</v>
      </c>
      <c r="O6">
        <f t="shared" si="0"/>
        <v>102067000000</v>
      </c>
      <c r="P6">
        <f t="shared" si="1"/>
        <v>0.1005222060019399</v>
      </c>
      <c r="S6" t="s">
        <v>54</v>
      </c>
      <c r="T6" t="s">
        <v>12</v>
      </c>
      <c r="U6">
        <v>5980000000</v>
      </c>
      <c r="V6" s="1">
        <v>43737</v>
      </c>
      <c r="Z6" s="1">
        <v>44465</v>
      </c>
      <c r="AA6">
        <v>118719000000</v>
      </c>
      <c r="AB6">
        <v>6000000000</v>
      </c>
      <c r="AC6">
        <v>54763000000</v>
      </c>
      <c r="AD6">
        <f t="shared" si="3"/>
        <v>100818000000</v>
      </c>
      <c r="AE6">
        <v>11900000000</v>
      </c>
      <c r="AF6">
        <f t="shared" si="4"/>
        <v>292200000000</v>
      </c>
      <c r="AH6">
        <f t="shared" si="5"/>
        <v>4288000000</v>
      </c>
      <c r="AI6">
        <f t="shared" si="2"/>
        <v>1.4893439662118981E-2</v>
      </c>
      <c r="AL6" t="s">
        <v>62</v>
      </c>
      <c r="AM6" t="s">
        <v>12</v>
      </c>
      <c r="AN6">
        <v>287912000000</v>
      </c>
      <c r="AO6" s="1">
        <v>44465</v>
      </c>
    </row>
    <row r="7" spans="1:41" x14ac:dyDescent="0.2">
      <c r="A7" t="s">
        <v>56</v>
      </c>
      <c r="B7" t="s">
        <v>12</v>
      </c>
      <c r="C7">
        <v>10260000000</v>
      </c>
      <c r="D7" s="1">
        <v>43737</v>
      </c>
      <c r="J7" t="s">
        <v>58</v>
      </c>
      <c r="K7" t="s">
        <v>12</v>
      </c>
      <c r="L7">
        <v>91807000000</v>
      </c>
      <c r="O7">
        <f t="shared" si="0"/>
        <v>102067000000</v>
      </c>
      <c r="P7">
        <f t="shared" si="1"/>
        <v>0.1005222060019399</v>
      </c>
      <c r="S7" t="s">
        <v>54</v>
      </c>
      <c r="T7" t="s">
        <v>12</v>
      </c>
      <c r="U7">
        <v>6000000000</v>
      </c>
      <c r="V7" s="1">
        <v>43737</v>
      </c>
      <c r="Z7" s="1">
        <v>44829</v>
      </c>
      <c r="AA7">
        <v>110087000000</v>
      </c>
      <c r="AB7">
        <v>9982000000</v>
      </c>
      <c r="AC7">
        <v>64115000000</v>
      </c>
      <c r="AD7">
        <f t="shared" si="3"/>
        <v>109987000000</v>
      </c>
      <c r="AE7">
        <v>12400000000</v>
      </c>
      <c r="AF7">
        <f t="shared" si="4"/>
        <v>306571000000</v>
      </c>
      <c r="AH7">
        <f t="shared" si="5"/>
        <v>4488000000</v>
      </c>
      <c r="AI7">
        <f t="shared" si="2"/>
        <v>1.4856843979965772E-2</v>
      </c>
      <c r="AL7" t="s">
        <v>62</v>
      </c>
      <c r="AM7" t="s">
        <v>12</v>
      </c>
      <c r="AN7">
        <v>302083000000</v>
      </c>
      <c r="AO7" s="1">
        <v>44829</v>
      </c>
    </row>
    <row r="8" spans="1:41" x14ac:dyDescent="0.2">
      <c r="A8" t="s">
        <v>56</v>
      </c>
      <c r="B8" t="s">
        <v>12</v>
      </c>
      <c r="C8">
        <v>8773000000</v>
      </c>
      <c r="D8" s="1">
        <v>44101</v>
      </c>
      <c r="J8" t="s">
        <v>58</v>
      </c>
      <c r="K8" t="s">
        <v>12</v>
      </c>
      <c r="L8">
        <v>98667000000</v>
      </c>
      <c r="O8">
        <f t="shared" si="0"/>
        <v>107440000000</v>
      </c>
      <c r="P8">
        <f t="shared" si="1"/>
        <v>8.1654877140729706E-2</v>
      </c>
      <c r="S8" t="s">
        <v>54</v>
      </c>
      <c r="T8" t="s">
        <v>12</v>
      </c>
      <c r="U8">
        <v>4996000000</v>
      </c>
      <c r="V8" s="1">
        <v>44101</v>
      </c>
      <c r="Z8" s="1">
        <v>45200</v>
      </c>
      <c r="AA8">
        <v>105103000000</v>
      </c>
      <c r="AB8">
        <v>5985000000</v>
      </c>
      <c r="AC8">
        <v>62611000000</v>
      </c>
      <c r="AD8">
        <f t="shared" si="3"/>
        <v>108677000000</v>
      </c>
      <c r="AE8">
        <v>12100000000</v>
      </c>
      <c r="AF8">
        <f t="shared" si="4"/>
        <v>294476000000</v>
      </c>
      <c r="AH8">
        <f t="shared" si="5"/>
        <v>4039000000</v>
      </c>
      <c r="AI8">
        <f t="shared" si="2"/>
        <v>1.3906630353570653E-2</v>
      </c>
      <c r="AL8" t="s">
        <v>62</v>
      </c>
      <c r="AM8" t="s">
        <v>12</v>
      </c>
      <c r="AN8">
        <v>290437000000</v>
      </c>
      <c r="AO8" s="1">
        <v>45200</v>
      </c>
    </row>
    <row r="9" spans="1:41" x14ac:dyDescent="0.2">
      <c r="A9" t="s">
        <v>56</v>
      </c>
      <c r="B9" t="s">
        <v>12</v>
      </c>
      <c r="C9">
        <v>8773000000</v>
      </c>
      <c r="D9" s="1">
        <v>44101</v>
      </c>
      <c r="J9" t="s">
        <v>58</v>
      </c>
      <c r="K9" t="s">
        <v>12</v>
      </c>
      <c r="L9">
        <v>98667000000</v>
      </c>
      <c r="O9">
        <f t="shared" si="0"/>
        <v>107440000000</v>
      </c>
      <c r="P9">
        <f t="shared" si="1"/>
        <v>8.1654877140729706E-2</v>
      </c>
      <c r="S9" t="s">
        <v>54</v>
      </c>
      <c r="T9" t="s">
        <v>12</v>
      </c>
      <c r="U9">
        <v>4996000000</v>
      </c>
      <c r="V9" s="1">
        <v>44101</v>
      </c>
      <c r="Z9" s="1">
        <v>45564</v>
      </c>
      <c r="AA9">
        <v>96662000000</v>
      </c>
      <c r="AB9">
        <v>9967000000</v>
      </c>
      <c r="AC9">
        <v>68960000000</v>
      </c>
      <c r="AD9">
        <f t="shared" si="3"/>
        <v>124192000000</v>
      </c>
      <c r="AE9">
        <v>12800000000</v>
      </c>
      <c r="AF9">
        <f t="shared" si="4"/>
        <v>312581000000</v>
      </c>
      <c r="AH9">
        <f t="shared" si="5"/>
        <v>4551000000</v>
      </c>
      <c r="AI9">
        <f t="shared" si="2"/>
        <v>1.4774534947894685E-2</v>
      </c>
      <c r="AL9" t="s">
        <v>62</v>
      </c>
      <c r="AM9" t="s">
        <v>12</v>
      </c>
      <c r="AN9">
        <v>308030000000</v>
      </c>
      <c r="AO9" s="1">
        <v>45564</v>
      </c>
    </row>
    <row r="10" spans="1:41" x14ac:dyDescent="0.2">
      <c r="A10" t="s">
        <v>56</v>
      </c>
      <c r="B10" t="s">
        <v>12</v>
      </c>
      <c r="C10">
        <v>8773000000</v>
      </c>
      <c r="D10" s="1">
        <v>44101</v>
      </c>
      <c r="J10" t="s">
        <v>58</v>
      </c>
      <c r="K10" t="s">
        <v>12</v>
      </c>
      <c r="L10">
        <v>98667000000</v>
      </c>
      <c r="O10">
        <f t="shared" si="0"/>
        <v>107440000000</v>
      </c>
      <c r="P10">
        <f t="shared" si="1"/>
        <v>8.1654877140729706E-2</v>
      </c>
      <c r="S10" t="s">
        <v>54</v>
      </c>
      <c r="T10" t="s">
        <v>12</v>
      </c>
      <c r="U10">
        <v>5000000000</v>
      </c>
      <c r="V10" s="1">
        <v>44101</v>
      </c>
      <c r="Z10" s="1">
        <v>45928</v>
      </c>
      <c r="AA10">
        <v>90678000000</v>
      </c>
      <c r="AB10">
        <v>7979000000</v>
      </c>
      <c r="AC10">
        <v>69860000000</v>
      </c>
      <c r="AD10">
        <f t="shared" si="3"/>
        <v>107936000000</v>
      </c>
      <c r="AE10">
        <v>13700000000</v>
      </c>
      <c r="AF10">
        <f>SUM(AA10:AE10)</f>
        <v>290153000000</v>
      </c>
      <c r="AH10">
        <f t="shared" si="5"/>
        <v>4645000000</v>
      </c>
      <c r="AI10">
        <f>(AF10-AN10)/AN10</f>
        <v>1.626924639589784E-2</v>
      </c>
      <c r="AL10" t="s">
        <v>62</v>
      </c>
      <c r="AM10" t="s">
        <v>12</v>
      </c>
      <c r="AN10">
        <v>285508000000</v>
      </c>
      <c r="AO10" s="1">
        <v>45928</v>
      </c>
    </row>
    <row r="11" spans="1:41" x14ac:dyDescent="0.2">
      <c r="A11" t="s">
        <v>56</v>
      </c>
      <c r="B11" t="s">
        <v>12</v>
      </c>
      <c r="C11">
        <v>8773000000</v>
      </c>
      <c r="D11" s="1">
        <v>44101</v>
      </c>
      <c r="J11" t="s">
        <v>58</v>
      </c>
      <c r="K11" t="s">
        <v>12</v>
      </c>
      <c r="L11">
        <v>98667000000</v>
      </c>
      <c r="O11">
        <f t="shared" si="0"/>
        <v>107440000000</v>
      </c>
      <c r="P11">
        <f t="shared" si="1"/>
        <v>8.1654877140729706E-2</v>
      </c>
      <c r="S11" t="s">
        <v>54</v>
      </c>
      <c r="T11" t="s">
        <v>12</v>
      </c>
      <c r="U11">
        <v>6000000000</v>
      </c>
      <c r="V11" s="1">
        <v>44465</v>
      </c>
      <c r="Z11" s="1"/>
    </row>
    <row r="12" spans="1:41" x14ac:dyDescent="0.2">
      <c r="A12" t="s">
        <v>56</v>
      </c>
      <c r="B12" t="s">
        <v>12</v>
      </c>
      <c r="C12">
        <v>9613000000</v>
      </c>
      <c r="D12" s="1">
        <v>44465</v>
      </c>
      <c r="J12" t="s">
        <v>58</v>
      </c>
      <c r="K12" t="s">
        <v>12</v>
      </c>
      <c r="L12">
        <v>109106000000</v>
      </c>
      <c r="O12">
        <f t="shared" si="0"/>
        <v>118719000000</v>
      </c>
      <c r="P12">
        <f t="shared" si="1"/>
        <v>8.0972717088250407E-2</v>
      </c>
      <c r="S12" t="s">
        <v>54</v>
      </c>
      <c r="T12" t="s">
        <v>12</v>
      </c>
      <c r="U12">
        <v>6000000000</v>
      </c>
      <c r="V12" s="1">
        <v>44465</v>
      </c>
      <c r="Z12" s="1"/>
    </row>
    <row r="13" spans="1:41" x14ac:dyDescent="0.2">
      <c r="A13" t="s">
        <v>56</v>
      </c>
      <c r="B13" t="s">
        <v>12</v>
      </c>
      <c r="C13">
        <v>9613000000</v>
      </c>
      <c r="D13" s="1">
        <v>44465</v>
      </c>
      <c r="J13" t="s">
        <v>58</v>
      </c>
      <c r="K13" t="s">
        <v>12</v>
      </c>
      <c r="L13">
        <v>109106000000</v>
      </c>
      <c r="O13">
        <f t="shared" si="0"/>
        <v>118719000000</v>
      </c>
      <c r="P13">
        <f t="shared" si="1"/>
        <v>8.0972717088250407E-2</v>
      </c>
      <c r="S13" t="s">
        <v>54</v>
      </c>
      <c r="T13" t="s">
        <v>12</v>
      </c>
      <c r="U13">
        <v>9982000000</v>
      </c>
      <c r="V13" s="1">
        <v>44829</v>
      </c>
      <c r="Z13" s="1"/>
    </row>
    <row r="14" spans="1:41" x14ac:dyDescent="0.2">
      <c r="A14" t="s">
        <v>56</v>
      </c>
      <c r="B14" t="s">
        <v>12</v>
      </c>
      <c r="C14">
        <v>9613000000</v>
      </c>
      <c r="D14" s="1">
        <v>44465</v>
      </c>
      <c r="J14" t="s">
        <v>58</v>
      </c>
      <c r="K14" t="s">
        <v>12</v>
      </c>
      <c r="L14">
        <v>109106000000</v>
      </c>
      <c r="O14">
        <f t="shared" si="0"/>
        <v>118719000000</v>
      </c>
      <c r="P14">
        <f t="shared" si="1"/>
        <v>8.0972717088250407E-2</v>
      </c>
      <c r="S14" t="s">
        <v>54</v>
      </c>
      <c r="T14" t="s">
        <v>12</v>
      </c>
      <c r="U14">
        <v>9982000000</v>
      </c>
      <c r="V14" s="1">
        <v>44829</v>
      </c>
      <c r="Z14" s="1"/>
    </row>
    <row r="15" spans="1:41" x14ac:dyDescent="0.2">
      <c r="A15" t="s">
        <v>56</v>
      </c>
      <c r="B15" t="s">
        <v>12</v>
      </c>
      <c r="C15">
        <v>9613000000</v>
      </c>
      <c r="D15" s="1">
        <v>44465</v>
      </c>
      <c r="J15" t="s">
        <v>58</v>
      </c>
      <c r="K15" t="s">
        <v>12</v>
      </c>
      <c r="L15">
        <v>109106000000</v>
      </c>
      <c r="O15">
        <f t="shared" si="0"/>
        <v>118719000000</v>
      </c>
      <c r="P15">
        <f t="shared" si="1"/>
        <v>8.0972717088250407E-2</v>
      </c>
      <c r="S15" t="s">
        <v>54</v>
      </c>
      <c r="T15" t="s">
        <v>12</v>
      </c>
      <c r="U15">
        <v>5985000000</v>
      </c>
      <c r="V15" s="1">
        <v>45200</v>
      </c>
      <c r="Z15" s="1"/>
    </row>
    <row r="16" spans="1:41" x14ac:dyDescent="0.2">
      <c r="A16" t="s">
        <v>56</v>
      </c>
      <c r="B16" t="s">
        <v>12</v>
      </c>
      <c r="C16">
        <v>11128000000</v>
      </c>
      <c r="D16" s="1">
        <v>44829</v>
      </c>
      <c r="J16" t="s">
        <v>58</v>
      </c>
      <c r="K16" t="s">
        <v>12</v>
      </c>
      <c r="L16">
        <v>98959000000</v>
      </c>
      <c r="O16">
        <f t="shared" si="0"/>
        <v>110087000000</v>
      </c>
      <c r="P16">
        <f t="shared" si="1"/>
        <v>0.10108368835557333</v>
      </c>
      <c r="S16" t="s">
        <v>54</v>
      </c>
      <c r="T16" t="s">
        <v>12</v>
      </c>
      <c r="U16">
        <v>5985000000</v>
      </c>
      <c r="V16" s="1">
        <v>45200</v>
      </c>
      <c r="AA16" s="1"/>
    </row>
    <row r="17" spans="1:39" x14ac:dyDescent="0.2">
      <c r="A17" t="s">
        <v>56</v>
      </c>
      <c r="B17" t="s">
        <v>12</v>
      </c>
      <c r="C17">
        <v>11128000000</v>
      </c>
      <c r="D17" s="1">
        <v>44829</v>
      </c>
      <c r="J17" t="s">
        <v>58</v>
      </c>
      <c r="K17" t="s">
        <v>12</v>
      </c>
      <c r="L17">
        <v>98959000000</v>
      </c>
      <c r="O17">
        <f t="shared" si="0"/>
        <v>110087000000</v>
      </c>
      <c r="P17">
        <f t="shared" si="1"/>
        <v>0.10108368835557333</v>
      </c>
      <c r="S17" t="s">
        <v>54</v>
      </c>
      <c r="T17" t="s">
        <v>12</v>
      </c>
      <c r="U17">
        <v>9967000000</v>
      </c>
      <c r="V17" s="1">
        <v>45564</v>
      </c>
      <c r="AA17" s="1"/>
    </row>
    <row r="18" spans="1:39" x14ac:dyDescent="0.2">
      <c r="A18" t="s">
        <v>56</v>
      </c>
      <c r="B18" t="s">
        <v>12</v>
      </c>
      <c r="C18">
        <v>11128000000</v>
      </c>
      <c r="D18" s="1">
        <v>44829</v>
      </c>
      <c r="J18" t="s">
        <v>58</v>
      </c>
      <c r="K18" t="s">
        <v>12</v>
      </c>
      <c r="L18">
        <v>98959000000</v>
      </c>
      <c r="O18">
        <f t="shared" si="0"/>
        <v>110087000000</v>
      </c>
      <c r="P18">
        <f t="shared" si="1"/>
        <v>0.10108368835557333</v>
      </c>
      <c r="S18" t="s">
        <v>54</v>
      </c>
      <c r="T18" t="s">
        <v>12</v>
      </c>
      <c r="U18">
        <v>9967000000</v>
      </c>
      <c r="V18" s="1">
        <v>45564</v>
      </c>
      <c r="AA18" s="1"/>
    </row>
    <row r="19" spans="1:39" x14ac:dyDescent="0.2">
      <c r="A19" t="s">
        <v>56</v>
      </c>
      <c r="B19" t="s">
        <v>12</v>
      </c>
      <c r="C19">
        <v>11128000000</v>
      </c>
      <c r="D19" s="1">
        <v>44829</v>
      </c>
      <c r="J19" t="s">
        <v>58</v>
      </c>
      <c r="K19" t="s">
        <v>12</v>
      </c>
      <c r="L19">
        <v>98959000000</v>
      </c>
      <c r="O19">
        <f t="shared" si="0"/>
        <v>110087000000</v>
      </c>
      <c r="P19">
        <f t="shared" si="1"/>
        <v>0.10108368835557333</v>
      </c>
      <c r="S19" t="s">
        <v>54</v>
      </c>
      <c r="T19" t="s">
        <v>12</v>
      </c>
      <c r="U19">
        <v>7979000000</v>
      </c>
      <c r="V19" s="1">
        <v>45928</v>
      </c>
      <c r="AA19" s="1"/>
    </row>
    <row r="20" spans="1:39" x14ac:dyDescent="0.2">
      <c r="A20" t="s">
        <v>56</v>
      </c>
      <c r="B20" t="s">
        <v>12</v>
      </c>
      <c r="C20">
        <v>9822000000</v>
      </c>
      <c r="D20" s="1">
        <v>45200</v>
      </c>
      <c r="J20" t="s">
        <v>58</v>
      </c>
      <c r="K20" t="s">
        <v>12</v>
      </c>
      <c r="L20">
        <v>95281000000</v>
      </c>
      <c r="O20">
        <f t="shared" si="0"/>
        <v>105103000000</v>
      </c>
      <c r="P20">
        <f t="shared" si="1"/>
        <v>9.3451185979467763E-2</v>
      </c>
      <c r="AA20" s="1"/>
    </row>
    <row r="21" spans="1:39" x14ac:dyDescent="0.2">
      <c r="A21" t="s">
        <v>56</v>
      </c>
      <c r="B21" t="s">
        <v>12</v>
      </c>
      <c r="C21">
        <v>9822000000</v>
      </c>
      <c r="D21" s="1">
        <v>45200</v>
      </c>
      <c r="J21" t="s">
        <v>58</v>
      </c>
      <c r="K21" t="s">
        <v>12</v>
      </c>
      <c r="L21">
        <v>95281000000</v>
      </c>
      <c r="O21">
        <f t="shared" si="0"/>
        <v>105103000000</v>
      </c>
      <c r="P21">
        <f t="shared" si="1"/>
        <v>9.3451185979467763E-2</v>
      </c>
      <c r="AA21" s="1"/>
    </row>
    <row r="22" spans="1:39" x14ac:dyDescent="0.2">
      <c r="A22" t="s">
        <v>56</v>
      </c>
      <c r="B22" t="s">
        <v>12</v>
      </c>
      <c r="C22">
        <v>9822000000</v>
      </c>
      <c r="D22" s="1">
        <v>45200</v>
      </c>
      <c r="J22" t="s">
        <v>58</v>
      </c>
      <c r="K22" t="s">
        <v>12</v>
      </c>
      <c r="L22">
        <v>95281000000</v>
      </c>
      <c r="O22">
        <f t="shared" si="0"/>
        <v>105103000000</v>
      </c>
      <c r="P22">
        <f t="shared" si="1"/>
        <v>9.3451185979467763E-2</v>
      </c>
      <c r="AA22" s="1"/>
    </row>
    <row r="23" spans="1:39" x14ac:dyDescent="0.2">
      <c r="A23" t="s">
        <v>56</v>
      </c>
      <c r="B23" t="s">
        <v>12</v>
      </c>
      <c r="C23">
        <v>9822000000</v>
      </c>
      <c r="D23" s="1">
        <v>45200</v>
      </c>
      <c r="J23" t="s">
        <v>58</v>
      </c>
      <c r="K23" t="s">
        <v>12</v>
      </c>
      <c r="L23">
        <v>95281000000</v>
      </c>
      <c r="O23">
        <f t="shared" si="0"/>
        <v>105103000000</v>
      </c>
      <c r="P23">
        <f t="shared" si="1"/>
        <v>9.3451185979467763E-2</v>
      </c>
      <c r="AA23" s="1"/>
    </row>
    <row r="24" spans="1:39" x14ac:dyDescent="0.2">
      <c r="A24" t="s">
        <v>56</v>
      </c>
      <c r="B24" t="s">
        <v>12</v>
      </c>
      <c r="C24">
        <v>10912000000</v>
      </c>
      <c r="D24" s="1">
        <v>45564</v>
      </c>
      <c r="J24" t="s">
        <v>58</v>
      </c>
      <c r="K24" t="s">
        <v>12</v>
      </c>
      <c r="L24">
        <v>85750000000</v>
      </c>
      <c r="O24">
        <f t="shared" si="0"/>
        <v>96662000000</v>
      </c>
      <c r="P24">
        <f t="shared" si="1"/>
        <v>0.11288820839626741</v>
      </c>
      <c r="AA24" s="1"/>
    </row>
    <row r="25" spans="1:39" x14ac:dyDescent="0.2">
      <c r="A25" t="s">
        <v>56</v>
      </c>
      <c r="B25" t="s">
        <v>12</v>
      </c>
      <c r="C25">
        <v>10912000000</v>
      </c>
      <c r="D25" s="1">
        <v>45564</v>
      </c>
      <c r="J25" t="s">
        <v>58</v>
      </c>
      <c r="K25" t="s">
        <v>12</v>
      </c>
      <c r="L25">
        <v>85750000000</v>
      </c>
      <c r="O25">
        <f t="shared" si="0"/>
        <v>96662000000</v>
      </c>
      <c r="P25">
        <f t="shared" si="1"/>
        <v>0.11288820839626741</v>
      </c>
      <c r="AA25" s="1"/>
    </row>
    <row r="26" spans="1:39" x14ac:dyDescent="0.2">
      <c r="A26" t="s">
        <v>56</v>
      </c>
      <c r="B26" t="s">
        <v>12</v>
      </c>
      <c r="C26">
        <v>10912000000</v>
      </c>
      <c r="D26" s="1">
        <v>45564</v>
      </c>
      <c r="J26" t="s">
        <v>58</v>
      </c>
      <c r="K26" t="s">
        <v>12</v>
      </c>
      <c r="L26">
        <v>85750000000</v>
      </c>
      <c r="O26">
        <f t="shared" si="0"/>
        <v>96662000000</v>
      </c>
      <c r="P26">
        <f t="shared" si="1"/>
        <v>0.11288820839626741</v>
      </c>
      <c r="AA26" s="1"/>
    </row>
    <row r="27" spans="1:39" x14ac:dyDescent="0.2">
      <c r="A27" t="s">
        <v>56</v>
      </c>
      <c r="B27" t="s">
        <v>12</v>
      </c>
      <c r="C27">
        <v>10912000000</v>
      </c>
      <c r="D27" s="1">
        <v>45564</v>
      </c>
      <c r="J27" t="s">
        <v>58</v>
      </c>
      <c r="K27" t="s">
        <v>12</v>
      </c>
      <c r="L27">
        <v>85750000000</v>
      </c>
      <c r="O27">
        <f t="shared" si="0"/>
        <v>96662000000</v>
      </c>
      <c r="P27">
        <f t="shared" si="1"/>
        <v>0.11288820839626741</v>
      </c>
      <c r="AA27" s="1"/>
    </row>
    <row r="28" spans="1:39" x14ac:dyDescent="0.2">
      <c r="A28" t="s">
        <v>56</v>
      </c>
      <c r="B28" t="s">
        <v>12</v>
      </c>
      <c r="C28">
        <v>12350000000</v>
      </c>
      <c r="D28" s="1">
        <v>45928</v>
      </c>
      <c r="J28" t="s">
        <v>58</v>
      </c>
      <c r="K28" t="s">
        <v>12</v>
      </c>
      <c r="L28">
        <v>78328000000</v>
      </c>
      <c r="O28">
        <f t="shared" si="0"/>
        <v>90678000000</v>
      </c>
      <c r="P28">
        <f t="shared" si="1"/>
        <v>0.13619621076777166</v>
      </c>
      <c r="AA28" s="1"/>
    </row>
    <row r="29" spans="1:39" x14ac:dyDescent="0.2">
      <c r="A29" t="s">
        <v>56</v>
      </c>
      <c r="B29" t="s">
        <v>12</v>
      </c>
      <c r="C29">
        <v>12350000000</v>
      </c>
      <c r="D29" s="1">
        <v>45928</v>
      </c>
      <c r="J29" t="s">
        <v>58</v>
      </c>
      <c r="K29" t="s">
        <v>12</v>
      </c>
      <c r="L29">
        <v>78328000000</v>
      </c>
      <c r="O29">
        <f t="shared" si="0"/>
        <v>90678000000</v>
      </c>
      <c r="P29">
        <f t="shared" si="1"/>
        <v>0.13619621076777166</v>
      </c>
      <c r="AA29" s="1"/>
    </row>
    <row r="32" spans="1:39" x14ac:dyDescent="0.2">
      <c r="A32" s="1">
        <v>43373</v>
      </c>
      <c r="B32">
        <v>8784000000</v>
      </c>
      <c r="J32" s="1">
        <v>43373</v>
      </c>
      <c r="K32">
        <v>93735000000</v>
      </c>
      <c r="S32" s="1">
        <v>43373</v>
      </c>
      <c r="T32">
        <v>11964000000</v>
      </c>
      <c r="AL32" s="1">
        <v>43373</v>
      </c>
      <c r="AM32">
        <v>258578000000</v>
      </c>
    </row>
    <row r="33" spans="1:39" x14ac:dyDescent="0.2">
      <c r="A33" s="1">
        <v>43373</v>
      </c>
      <c r="B33">
        <v>8784000000</v>
      </c>
      <c r="J33" s="1">
        <v>43373</v>
      </c>
      <c r="K33">
        <v>93735000000</v>
      </c>
      <c r="S33" s="1">
        <v>43373</v>
      </c>
      <c r="T33">
        <v>12000000000</v>
      </c>
      <c r="AL33" s="1">
        <v>43737</v>
      </c>
      <c r="AM33">
        <v>248028000000</v>
      </c>
    </row>
    <row r="34" spans="1:39" x14ac:dyDescent="0.2">
      <c r="A34" s="1">
        <v>43737</v>
      </c>
      <c r="B34">
        <v>10260000000</v>
      </c>
      <c r="J34" s="1">
        <v>43737</v>
      </c>
      <c r="K34">
        <v>91807000000</v>
      </c>
      <c r="S34" s="1">
        <v>43737</v>
      </c>
      <c r="T34">
        <v>5980000000</v>
      </c>
      <c r="AL34" s="1">
        <v>43737</v>
      </c>
      <c r="AM34">
        <v>248028000000</v>
      </c>
    </row>
    <row r="35" spans="1:39" x14ac:dyDescent="0.2">
      <c r="A35" s="1">
        <v>43737</v>
      </c>
      <c r="B35">
        <v>10260000000</v>
      </c>
      <c r="J35" s="1">
        <v>43737</v>
      </c>
      <c r="K35">
        <v>91807000000</v>
      </c>
      <c r="S35" s="1">
        <v>43737</v>
      </c>
      <c r="T35">
        <v>6000000000</v>
      </c>
      <c r="AL35" s="1">
        <v>44101</v>
      </c>
      <c r="AM35">
        <v>258549000000</v>
      </c>
    </row>
    <row r="36" spans="1:39" x14ac:dyDescent="0.2">
      <c r="A36" s="1">
        <v>43737</v>
      </c>
      <c r="B36">
        <v>10260000000</v>
      </c>
      <c r="J36" s="1">
        <v>43737</v>
      </c>
      <c r="K36">
        <v>91807000000</v>
      </c>
      <c r="S36" s="1">
        <v>43737</v>
      </c>
      <c r="T36">
        <v>5980000000</v>
      </c>
      <c r="AL36" s="1">
        <v>44101</v>
      </c>
      <c r="AM36">
        <v>258549000000</v>
      </c>
    </row>
    <row r="37" spans="1:39" x14ac:dyDescent="0.2">
      <c r="A37" s="1">
        <v>43737</v>
      </c>
      <c r="B37">
        <v>10260000000</v>
      </c>
      <c r="J37" s="1">
        <v>43737</v>
      </c>
      <c r="K37">
        <v>91807000000</v>
      </c>
      <c r="S37" s="1">
        <v>43737</v>
      </c>
      <c r="T37">
        <v>6000000000</v>
      </c>
      <c r="AL37" s="1">
        <v>44465</v>
      </c>
      <c r="AM37">
        <v>287912000000</v>
      </c>
    </row>
    <row r="38" spans="1:39" x14ac:dyDescent="0.2">
      <c r="A38" s="1">
        <v>44101</v>
      </c>
      <c r="B38">
        <v>8773000000</v>
      </c>
      <c r="J38" s="1">
        <v>44101</v>
      </c>
      <c r="K38">
        <v>98667000000</v>
      </c>
      <c r="S38" s="1">
        <v>44101</v>
      </c>
      <c r="T38">
        <v>4996000000</v>
      </c>
      <c r="AL38" s="1">
        <v>44465</v>
      </c>
      <c r="AM38">
        <v>287912000000</v>
      </c>
    </row>
    <row r="39" spans="1:39" x14ac:dyDescent="0.2">
      <c r="A39" s="1">
        <v>44101</v>
      </c>
      <c r="B39">
        <v>8773000000</v>
      </c>
      <c r="J39" s="1">
        <v>44101</v>
      </c>
      <c r="K39">
        <v>98667000000</v>
      </c>
      <c r="S39" s="1">
        <v>44101</v>
      </c>
      <c r="T39">
        <v>4996000000</v>
      </c>
      <c r="AL39" s="1">
        <v>44829</v>
      </c>
      <c r="AM39">
        <v>302083000000</v>
      </c>
    </row>
    <row r="40" spans="1:39" x14ac:dyDescent="0.2">
      <c r="A40" s="1">
        <v>44101</v>
      </c>
      <c r="B40">
        <v>8773000000</v>
      </c>
      <c r="J40" s="1">
        <v>44101</v>
      </c>
      <c r="K40">
        <v>98667000000</v>
      </c>
      <c r="S40" s="1">
        <v>44101</v>
      </c>
      <c r="T40">
        <v>5000000000</v>
      </c>
      <c r="AL40" s="1">
        <v>44829</v>
      </c>
      <c r="AM40">
        <v>302083000000</v>
      </c>
    </row>
    <row r="41" spans="1:39" x14ac:dyDescent="0.2">
      <c r="A41" s="1">
        <v>44101</v>
      </c>
      <c r="B41">
        <v>8773000000</v>
      </c>
      <c r="J41" s="1">
        <v>44101</v>
      </c>
      <c r="K41">
        <v>98667000000</v>
      </c>
      <c r="S41" s="1">
        <v>44465</v>
      </c>
      <c r="T41">
        <v>6000000000</v>
      </c>
      <c r="AL41" s="1">
        <v>45200</v>
      </c>
      <c r="AM41">
        <v>290437000000</v>
      </c>
    </row>
    <row r="42" spans="1:39" x14ac:dyDescent="0.2">
      <c r="A42" s="1">
        <v>44465</v>
      </c>
      <c r="B42">
        <v>9613000000</v>
      </c>
      <c r="J42" s="1">
        <v>44465</v>
      </c>
      <c r="K42">
        <v>109106000000</v>
      </c>
      <c r="S42" s="1">
        <v>44465</v>
      </c>
      <c r="T42">
        <v>6000000000</v>
      </c>
      <c r="AL42" s="1">
        <v>45200</v>
      </c>
      <c r="AM42">
        <v>290437000000</v>
      </c>
    </row>
    <row r="43" spans="1:39" x14ac:dyDescent="0.2">
      <c r="A43" s="1">
        <v>44465</v>
      </c>
      <c r="B43">
        <v>9613000000</v>
      </c>
      <c r="J43" s="1">
        <v>44465</v>
      </c>
      <c r="K43">
        <v>109106000000</v>
      </c>
      <c r="S43" s="1">
        <v>44829</v>
      </c>
      <c r="T43">
        <v>9982000000</v>
      </c>
      <c r="AL43" s="1">
        <v>45564</v>
      </c>
      <c r="AM43">
        <v>308030000000</v>
      </c>
    </row>
    <row r="44" spans="1:39" x14ac:dyDescent="0.2">
      <c r="A44" s="1">
        <v>44465</v>
      </c>
      <c r="B44">
        <v>9613000000</v>
      </c>
      <c r="J44" s="1">
        <v>44465</v>
      </c>
      <c r="K44">
        <v>109106000000</v>
      </c>
      <c r="S44" s="1">
        <v>44829</v>
      </c>
      <c r="T44">
        <v>9982000000</v>
      </c>
      <c r="AL44" s="1">
        <v>45564</v>
      </c>
      <c r="AM44">
        <v>308030000000</v>
      </c>
    </row>
    <row r="45" spans="1:39" x14ac:dyDescent="0.2">
      <c r="A45" s="1">
        <v>44465</v>
      </c>
      <c r="B45">
        <v>9613000000</v>
      </c>
      <c r="J45" s="1">
        <v>44465</v>
      </c>
      <c r="K45">
        <v>109106000000</v>
      </c>
      <c r="S45" s="1">
        <v>45200</v>
      </c>
      <c r="T45">
        <v>5985000000</v>
      </c>
      <c r="AL45" s="1">
        <v>45928</v>
      </c>
      <c r="AM45">
        <v>285508000000</v>
      </c>
    </row>
    <row r="46" spans="1:39" x14ac:dyDescent="0.2">
      <c r="A46" s="1">
        <v>44829</v>
      </c>
      <c r="B46">
        <v>11128000000</v>
      </c>
      <c r="J46" s="1">
        <v>44829</v>
      </c>
      <c r="K46">
        <v>98959000000</v>
      </c>
      <c r="S46" s="1">
        <v>45200</v>
      </c>
      <c r="T46">
        <v>5985000000</v>
      </c>
    </row>
    <row r="47" spans="1:39" x14ac:dyDescent="0.2">
      <c r="A47" s="1">
        <v>44829</v>
      </c>
      <c r="B47">
        <v>11128000000</v>
      </c>
      <c r="J47" s="1">
        <v>44829</v>
      </c>
      <c r="K47">
        <v>98959000000</v>
      </c>
      <c r="S47" s="1">
        <v>45564</v>
      </c>
      <c r="T47">
        <v>9967000000</v>
      </c>
    </row>
    <row r="48" spans="1:39" x14ac:dyDescent="0.2">
      <c r="A48" s="1">
        <v>44829</v>
      </c>
      <c r="B48">
        <v>11128000000</v>
      </c>
      <c r="J48" s="1">
        <v>44829</v>
      </c>
      <c r="K48">
        <v>98959000000</v>
      </c>
      <c r="S48" s="1">
        <v>45564</v>
      </c>
      <c r="T48">
        <v>9967000000</v>
      </c>
    </row>
    <row r="49" spans="1:39" x14ac:dyDescent="0.2">
      <c r="A49" s="1">
        <v>44829</v>
      </c>
      <c r="B49">
        <v>11128000000</v>
      </c>
      <c r="J49" s="1">
        <v>44829</v>
      </c>
      <c r="K49">
        <v>98959000000</v>
      </c>
      <c r="S49" s="1">
        <v>45928</v>
      </c>
      <c r="T49">
        <v>7979000000</v>
      </c>
    </row>
    <row r="50" spans="1:39" x14ac:dyDescent="0.2">
      <c r="A50" s="1">
        <v>45200</v>
      </c>
      <c r="B50">
        <v>9822000000</v>
      </c>
      <c r="J50" s="1">
        <v>45200</v>
      </c>
      <c r="K50">
        <v>95281000000</v>
      </c>
    </row>
    <row r="51" spans="1:39" x14ac:dyDescent="0.2">
      <c r="A51" s="1">
        <v>45200</v>
      </c>
      <c r="B51">
        <v>9822000000</v>
      </c>
      <c r="J51" s="1">
        <v>45200</v>
      </c>
      <c r="K51">
        <v>95281000000</v>
      </c>
    </row>
    <row r="52" spans="1:39" x14ac:dyDescent="0.2">
      <c r="A52" s="1">
        <v>45200</v>
      </c>
      <c r="B52">
        <v>9822000000</v>
      </c>
      <c r="J52" s="1">
        <v>45200</v>
      </c>
      <c r="K52">
        <v>95281000000</v>
      </c>
    </row>
    <row r="53" spans="1:39" x14ac:dyDescent="0.2">
      <c r="A53" s="1">
        <v>45200</v>
      </c>
      <c r="B53">
        <v>9822000000</v>
      </c>
      <c r="J53" s="1">
        <v>45200</v>
      </c>
      <c r="K53">
        <v>95281000000</v>
      </c>
    </row>
    <row r="54" spans="1:39" x14ac:dyDescent="0.2">
      <c r="A54" s="1">
        <v>45564</v>
      </c>
      <c r="B54">
        <v>10912000000</v>
      </c>
      <c r="J54" s="1">
        <v>45564</v>
      </c>
      <c r="K54">
        <v>85750000000</v>
      </c>
    </row>
    <row r="55" spans="1:39" x14ac:dyDescent="0.2">
      <c r="A55" s="1">
        <v>45564</v>
      </c>
      <c r="B55">
        <v>10912000000</v>
      </c>
      <c r="J55" s="1">
        <v>45564</v>
      </c>
      <c r="K55">
        <v>85750000000</v>
      </c>
    </row>
    <row r="56" spans="1:39" x14ac:dyDescent="0.2">
      <c r="A56" s="1">
        <v>45564</v>
      </c>
      <c r="B56">
        <v>10912000000</v>
      </c>
      <c r="J56" s="1">
        <v>45564</v>
      </c>
      <c r="K56">
        <v>85750000000</v>
      </c>
    </row>
    <row r="57" spans="1:39" x14ac:dyDescent="0.2">
      <c r="A57" s="1">
        <v>45564</v>
      </c>
      <c r="B57">
        <v>10912000000</v>
      </c>
      <c r="J57" s="1">
        <v>45564</v>
      </c>
      <c r="K57">
        <v>85750000000</v>
      </c>
    </row>
    <row r="58" spans="1:39" x14ac:dyDescent="0.2">
      <c r="A58" s="1">
        <v>45928</v>
      </c>
      <c r="B58">
        <v>12350000000</v>
      </c>
      <c r="J58" s="1">
        <v>45928</v>
      </c>
      <c r="K58">
        <v>78328000000</v>
      </c>
    </row>
    <row r="59" spans="1:39" x14ac:dyDescent="0.2">
      <c r="A59" s="1">
        <v>45928</v>
      </c>
      <c r="B59">
        <v>12350000000</v>
      </c>
      <c r="J59" s="1">
        <v>45928</v>
      </c>
      <c r="K59">
        <v>78328000000</v>
      </c>
      <c r="S59" t="s">
        <v>106</v>
      </c>
    </row>
    <row r="60" spans="1:39" x14ac:dyDescent="0.2">
      <c r="S60" t="s">
        <v>49</v>
      </c>
      <c r="T60" t="s">
        <v>50</v>
      </c>
      <c r="U60" t="s">
        <v>12</v>
      </c>
      <c r="V60">
        <v>55888000000</v>
      </c>
      <c r="W60" s="1">
        <v>43373</v>
      </c>
      <c r="AL60" t="s">
        <v>171</v>
      </c>
    </row>
    <row r="61" spans="1:39" x14ac:dyDescent="0.2">
      <c r="S61" t="s">
        <v>49</v>
      </c>
      <c r="T61" t="s">
        <v>50</v>
      </c>
      <c r="U61" t="s">
        <v>12</v>
      </c>
      <c r="V61">
        <v>46236000000</v>
      </c>
      <c r="W61" s="1">
        <v>43737</v>
      </c>
      <c r="AL61" s="1">
        <v>43373</v>
      </c>
      <c r="AM61" s="5">
        <v>55012000000</v>
      </c>
    </row>
    <row r="62" spans="1:39" x14ac:dyDescent="0.2">
      <c r="S62" t="s">
        <v>49</v>
      </c>
      <c r="T62" t="s">
        <v>50</v>
      </c>
      <c r="U62" t="s">
        <v>12</v>
      </c>
      <c r="V62">
        <v>46236000000</v>
      </c>
      <c r="W62" s="1">
        <v>43737</v>
      </c>
      <c r="AL62" s="1">
        <v>43737</v>
      </c>
      <c r="AM62" s="5">
        <v>53960000000</v>
      </c>
    </row>
    <row r="63" spans="1:39" x14ac:dyDescent="0.2">
      <c r="S63" t="s">
        <v>49</v>
      </c>
      <c r="T63" t="s">
        <v>50</v>
      </c>
      <c r="U63" t="s">
        <v>12</v>
      </c>
      <c r="V63">
        <v>42296000000</v>
      </c>
      <c r="W63" s="1">
        <v>44101</v>
      </c>
      <c r="AL63" s="1">
        <v>44101</v>
      </c>
      <c r="AM63" s="5">
        <v>56453000000</v>
      </c>
    </row>
    <row r="64" spans="1:39" x14ac:dyDescent="0.2">
      <c r="S64" t="s">
        <v>49</v>
      </c>
      <c r="T64" t="s">
        <v>50</v>
      </c>
      <c r="U64" t="s">
        <v>12</v>
      </c>
      <c r="V64">
        <v>42296000000</v>
      </c>
      <c r="W64" s="1">
        <v>44101</v>
      </c>
      <c r="AL64" s="1">
        <v>44465</v>
      </c>
      <c r="AM64" s="5">
        <v>63106000000</v>
      </c>
    </row>
    <row r="65" spans="19:39" x14ac:dyDescent="0.2">
      <c r="S65" t="s">
        <v>49</v>
      </c>
      <c r="T65" t="s">
        <v>50</v>
      </c>
      <c r="U65" t="s">
        <v>12</v>
      </c>
      <c r="V65">
        <v>54763000000</v>
      </c>
      <c r="W65" s="1">
        <v>44465</v>
      </c>
      <c r="AL65" s="1">
        <v>44829</v>
      </c>
      <c r="AM65" s="5">
        <v>81955000000</v>
      </c>
    </row>
    <row r="66" spans="19:39" x14ac:dyDescent="0.2">
      <c r="S66" t="s">
        <v>49</v>
      </c>
      <c r="T66" t="s">
        <v>50</v>
      </c>
      <c r="U66" t="s">
        <v>12</v>
      </c>
      <c r="V66">
        <v>54763000000</v>
      </c>
      <c r="W66" s="1">
        <v>44465</v>
      </c>
      <c r="AL66" s="1">
        <v>45200</v>
      </c>
      <c r="AM66" s="5">
        <v>74636000000</v>
      </c>
    </row>
    <row r="67" spans="19:39" x14ac:dyDescent="0.2">
      <c r="S67" t="s">
        <v>49</v>
      </c>
      <c r="T67" t="s">
        <v>50</v>
      </c>
      <c r="U67" t="s">
        <v>12</v>
      </c>
      <c r="V67">
        <v>64115000000</v>
      </c>
      <c r="W67" s="1">
        <v>44829</v>
      </c>
      <c r="AL67" s="1">
        <v>45564</v>
      </c>
      <c r="AM67" s="5">
        <v>99183000000</v>
      </c>
    </row>
    <row r="68" spans="19:39" x14ac:dyDescent="0.2">
      <c r="S68" t="s">
        <v>49</v>
      </c>
      <c r="T68" t="s">
        <v>50</v>
      </c>
      <c r="U68" t="s">
        <v>12</v>
      </c>
      <c r="V68">
        <v>64115000000</v>
      </c>
      <c r="W68" s="1">
        <v>44829</v>
      </c>
      <c r="AL68" s="1">
        <v>45928</v>
      </c>
      <c r="AM68" s="5">
        <v>86716000000</v>
      </c>
    </row>
    <row r="69" spans="19:39" x14ac:dyDescent="0.2">
      <c r="S69" t="s">
        <v>49</v>
      </c>
      <c r="T69" t="s">
        <v>50</v>
      </c>
      <c r="U69" t="s">
        <v>12</v>
      </c>
      <c r="V69">
        <v>62611000000</v>
      </c>
      <c r="W69" s="1">
        <v>45200</v>
      </c>
    </row>
    <row r="70" spans="19:39" x14ac:dyDescent="0.2">
      <c r="S70" t="s">
        <v>49</v>
      </c>
      <c r="T70" t="s">
        <v>50</v>
      </c>
      <c r="U70" t="s">
        <v>12</v>
      </c>
      <c r="V70">
        <v>62611000000</v>
      </c>
      <c r="W70" s="1">
        <v>45200</v>
      </c>
    </row>
    <row r="71" spans="19:39" x14ac:dyDescent="0.2">
      <c r="S71" t="s">
        <v>49</v>
      </c>
      <c r="T71" t="s">
        <v>50</v>
      </c>
      <c r="U71" t="s">
        <v>12</v>
      </c>
      <c r="V71">
        <v>68960000000</v>
      </c>
      <c r="W71" s="1">
        <v>45564</v>
      </c>
    </row>
    <row r="72" spans="19:39" x14ac:dyDescent="0.2">
      <c r="S72" t="s">
        <v>49</v>
      </c>
      <c r="T72" t="s">
        <v>50</v>
      </c>
      <c r="U72" t="s">
        <v>12</v>
      </c>
      <c r="V72">
        <v>68960000000</v>
      </c>
      <c r="W72" s="1">
        <v>45564</v>
      </c>
    </row>
    <row r="73" spans="19:39" x14ac:dyDescent="0.2">
      <c r="S73" t="s">
        <v>49</v>
      </c>
      <c r="T73" t="s">
        <v>50</v>
      </c>
      <c r="U73" t="s">
        <v>12</v>
      </c>
      <c r="V73">
        <v>69860000000</v>
      </c>
      <c r="W73" s="1">
        <v>45928</v>
      </c>
    </row>
    <row r="74" spans="19:39" x14ac:dyDescent="0.2">
      <c r="AL74" t="s">
        <v>172</v>
      </c>
    </row>
    <row r="75" spans="19:39" x14ac:dyDescent="0.2">
      <c r="AL75" s="1">
        <v>43373</v>
      </c>
      <c r="AM75" s="6">
        <v>141712000000</v>
      </c>
    </row>
    <row r="76" spans="19:39" x14ac:dyDescent="0.2">
      <c r="S76" s="1">
        <v>43373</v>
      </c>
      <c r="T76">
        <v>55888000000</v>
      </c>
      <c r="AL76" s="1">
        <v>43737</v>
      </c>
      <c r="AM76" s="6">
        <v>142310000000</v>
      </c>
    </row>
    <row r="77" spans="19:39" x14ac:dyDescent="0.2">
      <c r="S77" s="1">
        <v>43737</v>
      </c>
      <c r="T77">
        <v>46236000000</v>
      </c>
      <c r="AL77" s="1">
        <v>44101</v>
      </c>
      <c r="AM77" s="6">
        <v>153157000000</v>
      </c>
    </row>
    <row r="78" spans="19:39" x14ac:dyDescent="0.2">
      <c r="S78" s="1">
        <v>43737</v>
      </c>
      <c r="T78">
        <v>46236000000</v>
      </c>
      <c r="AL78" s="1">
        <v>44465</v>
      </c>
      <c r="AM78" s="6">
        <v>162431000000</v>
      </c>
    </row>
    <row r="79" spans="19:39" x14ac:dyDescent="0.2">
      <c r="S79" s="1">
        <v>44101</v>
      </c>
      <c r="T79">
        <v>42296000000</v>
      </c>
      <c r="AL79" s="1">
        <v>44829</v>
      </c>
      <c r="AM79" s="6">
        <v>148101000000</v>
      </c>
    </row>
    <row r="80" spans="19:39" x14ac:dyDescent="0.2">
      <c r="S80" s="1">
        <v>44101</v>
      </c>
      <c r="T80">
        <v>42296000000</v>
      </c>
      <c r="AL80" s="1">
        <v>45200</v>
      </c>
      <c r="AM80" s="6">
        <v>145129000000</v>
      </c>
    </row>
    <row r="81" spans="10:39" x14ac:dyDescent="0.2">
      <c r="S81" s="1">
        <v>44465</v>
      </c>
      <c r="T81">
        <v>54763000000</v>
      </c>
      <c r="AL81" s="1">
        <v>45564</v>
      </c>
      <c r="AM81" s="6">
        <v>131638000000</v>
      </c>
    </row>
    <row r="82" spans="10:39" x14ac:dyDescent="0.2">
      <c r="S82" s="1">
        <v>44465</v>
      </c>
      <c r="T82">
        <v>54763000000</v>
      </c>
      <c r="AL82" s="1">
        <v>45928</v>
      </c>
      <c r="AM82" s="6">
        <v>119877000000</v>
      </c>
    </row>
    <row r="83" spans="10:39" x14ac:dyDescent="0.2">
      <c r="S83" s="1">
        <v>44829</v>
      </c>
      <c r="T83">
        <v>64115000000</v>
      </c>
    </row>
    <row r="84" spans="10:39" x14ac:dyDescent="0.2">
      <c r="S84" s="1">
        <v>44829</v>
      </c>
      <c r="T84">
        <v>64115000000</v>
      </c>
    </row>
    <row r="85" spans="10:39" x14ac:dyDescent="0.2">
      <c r="S85" s="1">
        <v>45200</v>
      </c>
      <c r="T85">
        <v>62611000000</v>
      </c>
    </row>
    <row r="86" spans="10:39" x14ac:dyDescent="0.2">
      <c r="S86" s="1">
        <v>45200</v>
      </c>
      <c r="T86">
        <v>62611000000</v>
      </c>
    </row>
    <row r="87" spans="10:39" x14ac:dyDescent="0.2">
      <c r="S87" s="1">
        <v>45564</v>
      </c>
      <c r="T87">
        <v>68960000000</v>
      </c>
    </row>
    <row r="88" spans="10:39" x14ac:dyDescent="0.2">
      <c r="S88" s="1">
        <v>45564</v>
      </c>
      <c r="T88">
        <v>68960000000</v>
      </c>
    </row>
    <row r="89" spans="10:39" x14ac:dyDescent="0.2">
      <c r="S89" s="1">
        <v>45928</v>
      </c>
      <c r="T89">
        <v>69860000000</v>
      </c>
    </row>
    <row r="93" spans="10:39" x14ac:dyDescent="0.2">
      <c r="J93" t="s">
        <v>113</v>
      </c>
    </row>
    <row r="94" spans="10:39" x14ac:dyDescent="0.2">
      <c r="S94" t="s">
        <v>51</v>
      </c>
      <c r="T94" t="s">
        <v>52</v>
      </c>
      <c r="U94" t="s">
        <v>12</v>
      </c>
      <c r="V94">
        <v>33327000000</v>
      </c>
      <c r="W94" s="1">
        <v>43373</v>
      </c>
      <c r="AB94" t="s">
        <v>59</v>
      </c>
      <c r="AC94" t="s">
        <v>60</v>
      </c>
      <c r="AD94" t="s">
        <v>12</v>
      </c>
      <c r="AE94">
        <v>48914000000</v>
      </c>
      <c r="AF94" s="1">
        <v>43373</v>
      </c>
    </row>
    <row r="95" spans="10:39" x14ac:dyDescent="0.2">
      <c r="J95" t="s">
        <v>111</v>
      </c>
      <c r="K95" t="s">
        <v>112</v>
      </c>
      <c r="L95" t="s">
        <v>12</v>
      </c>
      <c r="M95">
        <v>8800000000</v>
      </c>
      <c r="N95" s="1">
        <v>43373</v>
      </c>
      <c r="S95" t="s">
        <v>51</v>
      </c>
      <c r="T95" t="s">
        <v>52</v>
      </c>
      <c r="U95" t="s">
        <v>12</v>
      </c>
      <c r="V95">
        <v>37720000000</v>
      </c>
      <c r="W95" s="1">
        <v>43737</v>
      </c>
      <c r="AB95" t="s">
        <v>59</v>
      </c>
      <c r="AC95" t="s">
        <v>60</v>
      </c>
      <c r="AD95" t="s">
        <v>12</v>
      </c>
      <c r="AE95">
        <v>48914000000</v>
      </c>
      <c r="AF95" s="1">
        <v>43373</v>
      </c>
    </row>
    <row r="96" spans="10:39" x14ac:dyDescent="0.2">
      <c r="J96" t="s">
        <v>111</v>
      </c>
      <c r="K96" t="s">
        <v>112</v>
      </c>
      <c r="L96" t="s">
        <v>12</v>
      </c>
      <c r="M96">
        <v>8100000000</v>
      </c>
      <c r="N96" s="1">
        <v>43737</v>
      </c>
      <c r="S96" t="s">
        <v>51</v>
      </c>
      <c r="T96" t="s">
        <v>52</v>
      </c>
      <c r="U96" t="s">
        <v>12</v>
      </c>
      <c r="V96">
        <v>37720000000</v>
      </c>
      <c r="W96" s="1">
        <v>43737</v>
      </c>
      <c r="AB96" t="s">
        <v>59</v>
      </c>
      <c r="AC96" t="s">
        <v>60</v>
      </c>
      <c r="AD96" t="s">
        <v>12</v>
      </c>
      <c r="AE96">
        <v>50503000000</v>
      </c>
      <c r="AF96" s="1">
        <v>43737</v>
      </c>
    </row>
    <row r="97" spans="10:32" x14ac:dyDescent="0.2">
      <c r="J97" t="s">
        <v>111</v>
      </c>
      <c r="K97" t="s">
        <v>112</v>
      </c>
      <c r="L97" t="s">
        <v>12</v>
      </c>
      <c r="M97">
        <v>8100000000</v>
      </c>
      <c r="N97" s="1">
        <v>43737</v>
      </c>
      <c r="S97" t="s">
        <v>51</v>
      </c>
      <c r="T97" t="s">
        <v>52</v>
      </c>
      <c r="U97" t="s">
        <v>12</v>
      </c>
      <c r="V97">
        <v>42684000000</v>
      </c>
      <c r="W97" s="1">
        <v>44101</v>
      </c>
      <c r="AB97" t="s">
        <v>59</v>
      </c>
      <c r="AC97" t="s">
        <v>60</v>
      </c>
      <c r="AD97" t="s">
        <v>12</v>
      </c>
      <c r="AE97">
        <v>50503000000</v>
      </c>
      <c r="AF97" s="1">
        <v>43737</v>
      </c>
    </row>
    <row r="98" spans="10:32" x14ac:dyDescent="0.2">
      <c r="J98" t="s">
        <v>111</v>
      </c>
      <c r="K98" t="s">
        <v>112</v>
      </c>
      <c r="L98" t="s">
        <v>12</v>
      </c>
      <c r="M98">
        <v>10200000000</v>
      </c>
      <c r="N98" s="1">
        <v>44101</v>
      </c>
      <c r="S98" t="s">
        <v>51</v>
      </c>
      <c r="T98" t="s">
        <v>52</v>
      </c>
      <c r="U98" t="s">
        <v>12</v>
      </c>
      <c r="V98">
        <v>42684000000</v>
      </c>
      <c r="W98" s="1">
        <v>44101</v>
      </c>
      <c r="AB98" t="s">
        <v>59</v>
      </c>
      <c r="AC98" t="s">
        <v>60</v>
      </c>
      <c r="AD98" t="s">
        <v>12</v>
      </c>
      <c r="AE98">
        <v>50503000000</v>
      </c>
      <c r="AF98" s="1">
        <v>43737</v>
      </c>
    </row>
    <row r="99" spans="10:32" x14ac:dyDescent="0.2">
      <c r="J99" t="s">
        <v>111</v>
      </c>
      <c r="K99" t="s">
        <v>112</v>
      </c>
      <c r="L99" t="s">
        <v>12</v>
      </c>
      <c r="M99">
        <v>10200000000</v>
      </c>
      <c r="N99" s="1">
        <v>44101</v>
      </c>
      <c r="S99" t="s">
        <v>51</v>
      </c>
      <c r="T99" t="s">
        <v>52</v>
      </c>
      <c r="U99" t="s">
        <v>12</v>
      </c>
      <c r="V99">
        <v>47493000000</v>
      </c>
      <c r="W99" s="1">
        <v>44465</v>
      </c>
      <c r="AB99" t="s">
        <v>59</v>
      </c>
      <c r="AC99" t="s">
        <v>60</v>
      </c>
      <c r="AD99" t="s">
        <v>12</v>
      </c>
      <c r="AE99">
        <v>50503000000</v>
      </c>
      <c r="AF99" s="1">
        <v>43737</v>
      </c>
    </row>
    <row r="100" spans="10:32" x14ac:dyDescent="0.2">
      <c r="J100" t="s">
        <v>111</v>
      </c>
      <c r="K100" t="s">
        <v>112</v>
      </c>
      <c r="L100" t="s">
        <v>12</v>
      </c>
      <c r="M100">
        <v>11900000000</v>
      </c>
      <c r="N100" s="1">
        <v>44465</v>
      </c>
      <c r="S100" t="s">
        <v>51</v>
      </c>
      <c r="T100" t="s">
        <v>52</v>
      </c>
      <c r="U100" t="s">
        <v>12</v>
      </c>
      <c r="V100">
        <v>47493000000</v>
      </c>
      <c r="W100" s="1">
        <v>44465</v>
      </c>
      <c r="AB100" t="s">
        <v>59</v>
      </c>
      <c r="AC100" t="s">
        <v>60</v>
      </c>
      <c r="AD100" t="s">
        <v>12</v>
      </c>
      <c r="AE100">
        <v>54490000000</v>
      </c>
      <c r="AF100" s="1">
        <v>44101</v>
      </c>
    </row>
    <row r="101" spans="10:32" x14ac:dyDescent="0.2">
      <c r="J101" t="s">
        <v>111</v>
      </c>
      <c r="K101" t="s">
        <v>112</v>
      </c>
      <c r="L101" t="s">
        <v>12</v>
      </c>
      <c r="M101">
        <v>11900000000</v>
      </c>
      <c r="N101" s="1">
        <v>44465</v>
      </c>
      <c r="S101" t="s">
        <v>51</v>
      </c>
      <c r="T101" t="s">
        <v>52</v>
      </c>
      <c r="U101" t="s">
        <v>12</v>
      </c>
      <c r="V101">
        <v>60845000000</v>
      </c>
      <c r="W101" s="1">
        <v>44829</v>
      </c>
      <c r="AB101" t="s">
        <v>59</v>
      </c>
      <c r="AC101" t="s">
        <v>60</v>
      </c>
      <c r="AD101" t="s">
        <v>12</v>
      </c>
      <c r="AE101">
        <v>54490000000</v>
      </c>
      <c r="AF101" s="1">
        <v>44101</v>
      </c>
    </row>
    <row r="102" spans="10:32" x14ac:dyDescent="0.2">
      <c r="J102" t="s">
        <v>111</v>
      </c>
      <c r="K102" t="s">
        <v>112</v>
      </c>
      <c r="L102" t="s">
        <v>12</v>
      </c>
      <c r="M102">
        <v>12400000000</v>
      </c>
      <c r="N102" s="1">
        <v>44829</v>
      </c>
      <c r="S102" t="s">
        <v>51</v>
      </c>
      <c r="T102" t="s">
        <v>52</v>
      </c>
      <c r="U102" t="s">
        <v>12</v>
      </c>
      <c r="V102">
        <v>60845000000</v>
      </c>
      <c r="W102" s="1">
        <v>44829</v>
      </c>
      <c r="AB102" t="s">
        <v>59</v>
      </c>
      <c r="AC102" t="s">
        <v>60</v>
      </c>
      <c r="AD102" t="s">
        <v>12</v>
      </c>
      <c r="AE102">
        <v>54490000000</v>
      </c>
      <c r="AF102" s="1">
        <v>44101</v>
      </c>
    </row>
    <row r="103" spans="10:32" x14ac:dyDescent="0.2">
      <c r="J103" t="s">
        <v>111</v>
      </c>
      <c r="K103" t="s">
        <v>112</v>
      </c>
      <c r="L103" t="s">
        <v>12</v>
      </c>
      <c r="M103">
        <v>12400000000</v>
      </c>
      <c r="N103" s="1">
        <v>44829</v>
      </c>
      <c r="S103" t="s">
        <v>51</v>
      </c>
      <c r="T103" t="s">
        <v>52</v>
      </c>
      <c r="U103" t="s">
        <v>12</v>
      </c>
      <c r="V103">
        <v>60845000000</v>
      </c>
      <c r="W103" s="1">
        <v>44829</v>
      </c>
      <c r="AB103" t="s">
        <v>59</v>
      </c>
      <c r="AC103" t="s">
        <v>60</v>
      </c>
      <c r="AD103" t="s">
        <v>12</v>
      </c>
      <c r="AE103">
        <v>54490000000</v>
      </c>
      <c r="AF103" s="1">
        <v>44101</v>
      </c>
    </row>
    <row r="104" spans="10:32" x14ac:dyDescent="0.2">
      <c r="J104" t="s">
        <v>111</v>
      </c>
      <c r="K104" t="s">
        <v>112</v>
      </c>
      <c r="L104" t="s">
        <v>12</v>
      </c>
      <c r="M104">
        <v>12100000000</v>
      </c>
      <c r="N104" s="1">
        <v>45200</v>
      </c>
      <c r="S104" t="s">
        <v>51</v>
      </c>
      <c r="T104" t="s">
        <v>52</v>
      </c>
      <c r="U104" t="s">
        <v>12</v>
      </c>
      <c r="V104">
        <v>58829000000</v>
      </c>
      <c r="W104" s="1">
        <v>45200</v>
      </c>
      <c r="AB104" t="s">
        <v>59</v>
      </c>
      <c r="AC104" t="s">
        <v>60</v>
      </c>
      <c r="AD104" t="s">
        <v>12</v>
      </c>
      <c r="AE104">
        <v>53325000000</v>
      </c>
      <c r="AF104" s="1">
        <v>44465</v>
      </c>
    </row>
    <row r="105" spans="10:32" x14ac:dyDescent="0.2">
      <c r="J105" t="s">
        <v>111</v>
      </c>
      <c r="K105" t="s">
        <v>112</v>
      </c>
      <c r="L105" t="s">
        <v>12</v>
      </c>
      <c r="M105">
        <v>12100000000</v>
      </c>
      <c r="N105" s="1">
        <v>45200</v>
      </c>
      <c r="S105" t="s">
        <v>51</v>
      </c>
      <c r="T105" t="s">
        <v>52</v>
      </c>
      <c r="U105" t="s">
        <v>12</v>
      </c>
      <c r="V105">
        <v>58829000000</v>
      </c>
      <c r="W105" s="1">
        <v>45200</v>
      </c>
      <c r="AB105" t="s">
        <v>59</v>
      </c>
      <c r="AC105" t="s">
        <v>60</v>
      </c>
      <c r="AD105" t="s">
        <v>12</v>
      </c>
      <c r="AE105">
        <v>53325000000</v>
      </c>
      <c r="AF105" s="1">
        <v>44465</v>
      </c>
    </row>
    <row r="106" spans="10:32" x14ac:dyDescent="0.2">
      <c r="J106" t="s">
        <v>111</v>
      </c>
      <c r="K106" t="s">
        <v>112</v>
      </c>
      <c r="L106" t="s">
        <v>12</v>
      </c>
      <c r="M106">
        <v>12800000000</v>
      </c>
      <c r="N106" s="1">
        <v>45564</v>
      </c>
      <c r="S106" t="s">
        <v>51</v>
      </c>
      <c r="T106" t="s">
        <v>52</v>
      </c>
      <c r="U106" t="s">
        <v>12</v>
      </c>
      <c r="V106">
        <v>58829000000</v>
      </c>
      <c r="W106" s="1">
        <v>45200</v>
      </c>
      <c r="AB106" t="s">
        <v>59</v>
      </c>
      <c r="AC106" t="s">
        <v>60</v>
      </c>
      <c r="AD106" t="s">
        <v>12</v>
      </c>
      <c r="AE106">
        <v>53325000000</v>
      </c>
      <c r="AF106" s="1">
        <v>44465</v>
      </c>
    </row>
    <row r="107" spans="10:32" x14ac:dyDescent="0.2">
      <c r="J107" t="s">
        <v>111</v>
      </c>
      <c r="K107" t="s">
        <v>112</v>
      </c>
      <c r="L107" t="s">
        <v>12</v>
      </c>
      <c r="M107">
        <v>12800000000</v>
      </c>
      <c r="N107" s="1">
        <v>45564</v>
      </c>
      <c r="S107" t="s">
        <v>51</v>
      </c>
      <c r="T107" t="s">
        <v>52</v>
      </c>
      <c r="U107" t="s">
        <v>12</v>
      </c>
      <c r="V107">
        <v>58829000000</v>
      </c>
      <c r="W107" s="1">
        <v>45200</v>
      </c>
      <c r="AB107" t="s">
        <v>59</v>
      </c>
      <c r="AC107" t="s">
        <v>60</v>
      </c>
      <c r="AD107" t="s">
        <v>12</v>
      </c>
      <c r="AE107">
        <v>53325000000</v>
      </c>
      <c r="AF107" s="1">
        <v>44465</v>
      </c>
    </row>
    <row r="108" spans="10:32" x14ac:dyDescent="0.2">
      <c r="J108" t="s">
        <v>111</v>
      </c>
      <c r="K108" t="s">
        <v>112</v>
      </c>
      <c r="L108" t="s">
        <v>12</v>
      </c>
      <c r="M108">
        <v>13700000000</v>
      </c>
      <c r="N108" s="1">
        <v>45928</v>
      </c>
      <c r="S108" t="s">
        <v>51</v>
      </c>
      <c r="T108" t="s">
        <v>52</v>
      </c>
      <c r="U108" t="s">
        <v>12</v>
      </c>
      <c r="V108">
        <v>78304000000</v>
      </c>
      <c r="W108" s="1">
        <v>45564</v>
      </c>
      <c r="AB108" t="s">
        <v>59</v>
      </c>
      <c r="AC108" t="s">
        <v>60</v>
      </c>
      <c r="AD108" t="s">
        <v>12</v>
      </c>
      <c r="AE108">
        <v>49142000000</v>
      </c>
      <c r="AF108" s="1">
        <v>44829</v>
      </c>
    </row>
    <row r="109" spans="10:32" x14ac:dyDescent="0.2">
      <c r="S109" t="s">
        <v>51</v>
      </c>
      <c r="T109" t="s">
        <v>52</v>
      </c>
      <c r="U109" t="s">
        <v>12</v>
      </c>
      <c r="V109">
        <v>78304000000</v>
      </c>
      <c r="W109" s="1">
        <v>45564</v>
      </c>
      <c r="AB109" t="s">
        <v>59</v>
      </c>
      <c r="AC109" t="s">
        <v>60</v>
      </c>
      <c r="AD109" t="s">
        <v>12</v>
      </c>
      <c r="AE109">
        <v>49142000000</v>
      </c>
      <c r="AF109" s="1">
        <v>44829</v>
      </c>
    </row>
    <row r="110" spans="10:32" x14ac:dyDescent="0.2">
      <c r="S110" t="s">
        <v>51</v>
      </c>
      <c r="T110" t="s">
        <v>52</v>
      </c>
      <c r="U110" t="s">
        <v>12</v>
      </c>
      <c r="V110">
        <v>78304000000</v>
      </c>
      <c r="W110" s="1">
        <v>45564</v>
      </c>
      <c r="AB110" t="s">
        <v>59</v>
      </c>
      <c r="AC110" t="s">
        <v>60</v>
      </c>
      <c r="AD110" t="s">
        <v>12</v>
      </c>
      <c r="AE110">
        <v>49142000000</v>
      </c>
      <c r="AF110" s="1">
        <v>44829</v>
      </c>
    </row>
    <row r="111" spans="10:32" x14ac:dyDescent="0.2">
      <c r="J111" s="1">
        <v>43373</v>
      </c>
      <c r="K111">
        <v>8800000000</v>
      </c>
      <c r="S111" t="s">
        <v>51</v>
      </c>
      <c r="T111" t="s">
        <v>52</v>
      </c>
      <c r="U111" t="s">
        <v>12</v>
      </c>
      <c r="V111">
        <v>78304000000</v>
      </c>
      <c r="W111" s="1">
        <v>45564</v>
      </c>
      <c r="AB111" t="s">
        <v>59</v>
      </c>
      <c r="AC111" t="s">
        <v>60</v>
      </c>
      <c r="AD111" t="s">
        <v>12</v>
      </c>
      <c r="AE111">
        <v>49142000000</v>
      </c>
      <c r="AF111" s="1">
        <v>44829</v>
      </c>
    </row>
    <row r="112" spans="10:32" x14ac:dyDescent="0.2">
      <c r="J112" s="1">
        <v>43737</v>
      </c>
      <c r="K112">
        <v>8100000000</v>
      </c>
      <c r="S112" t="s">
        <v>51</v>
      </c>
      <c r="T112" t="s">
        <v>52</v>
      </c>
      <c r="U112" t="s">
        <v>12</v>
      </c>
      <c r="V112">
        <v>66387000000</v>
      </c>
      <c r="W112" s="1">
        <v>45928</v>
      </c>
      <c r="AB112" t="s">
        <v>59</v>
      </c>
      <c r="AC112" t="s">
        <v>60</v>
      </c>
      <c r="AD112" t="s">
        <v>12</v>
      </c>
      <c r="AE112">
        <v>49848000000</v>
      </c>
      <c r="AF112" s="1">
        <v>45200</v>
      </c>
    </row>
    <row r="113" spans="10:32" x14ac:dyDescent="0.2">
      <c r="J113" s="1">
        <v>44101</v>
      </c>
      <c r="K113">
        <v>10200000000</v>
      </c>
      <c r="S113" t="s">
        <v>51</v>
      </c>
      <c r="T113" t="s">
        <v>52</v>
      </c>
      <c r="U113" t="s">
        <v>12</v>
      </c>
      <c r="V113">
        <v>66387000000</v>
      </c>
      <c r="W113" s="1">
        <v>45928</v>
      </c>
      <c r="AB113" t="s">
        <v>59</v>
      </c>
      <c r="AC113" t="s">
        <v>60</v>
      </c>
      <c r="AD113" t="s">
        <v>12</v>
      </c>
      <c r="AE113">
        <v>49848000000</v>
      </c>
      <c r="AF113" s="1">
        <v>45200</v>
      </c>
    </row>
    <row r="114" spans="10:32" x14ac:dyDescent="0.2">
      <c r="J114" s="1">
        <v>44465</v>
      </c>
      <c r="K114">
        <v>11900000000</v>
      </c>
      <c r="AB114" t="s">
        <v>59</v>
      </c>
      <c r="AC114" t="s">
        <v>60</v>
      </c>
      <c r="AD114" t="s">
        <v>12</v>
      </c>
      <c r="AE114">
        <v>49848000000</v>
      </c>
      <c r="AF114" s="1">
        <v>45200</v>
      </c>
    </row>
    <row r="115" spans="10:32" x14ac:dyDescent="0.2">
      <c r="J115" s="1">
        <v>44829</v>
      </c>
      <c r="K115">
        <v>12400000000</v>
      </c>
      <c r="AB115" t="s">
        <v>59</v>
      </c>
      <c r="AC115" t="s">
        <v>60</v>
      </c>
      <c r="AD115" t="s">
        <v>12</v>
      </c>
      <c r="AE115">
        <v>49848000000</v>
      </c>
      <c r="AF115" s="1">
        <v>45200</v>
      </c>
    </row>
    <row r="116" spans="10:32" x14ac:dyDescent="0.2">
      <c r="J116" s="1">
        <v>45200</v>
      </c>
      <c r="K116">
        <v>12100000000</v>
      </c>
      <c r="AB116" t="s">
        <v>59</v>
      </c>
      <c r="AC116" t="s">
        <v>60</v>
      </c>
      <c r="AD116" t="s">
        <v>12</v>
      </c>
      <c r="AE116">
        <v>45888000000</v>
      </c>
      <c r="AF116" s="1">
        <v>45564</v>
      </c>
    </row>
    <row r="117" spans="10:32" x14ac:dyDescent="0.2">
      <c r="J117" s="1">
        <v>45564</v>
      </c>
      <c r="K117">
        <v>12800000000</v>
      </c>
      <c r="AB117" t="s">
        <v>59</v>
      </c>
      <c r="AC117" t="s">
        <v>60</v>
      </c>
      <c r="AD117" t="s">
        <v>12</v>
      </c>
      <c r="AE117">
        <v>45888000000</v>
      </c>
      <c r="AF117" s="1">
        <v>45564</v>
      </c>
    </row>
    <row r="118" spans="10:32" x14ac:dyDescent="0.2">
      <c r="J118" s="1">
        <v>45928</v>
      </c>
      <c r="K118">
        <v>13700000000</v>
      </c>
      <c r="AB118" t="s">
        <v>59</v>
      </c>
      <c r="AC118" t="s">
        <v>60</v>
      </c>
      <c r="AD118" t="s">
        <v>12</v>
      </c>
      <c r="AE118">
        <v>45888000000</v>
      </c>
      <c r="AF118" s="1">
        <v>45564</v>
      </c>
    </row>
    <row r="119" spans="10:32" x14ac:dyDescent="0.2">
      <c r="AB119" t="s">
        <v>59</v>
      </c>
      <c r="AC119" t="s">
        <v>60</v>
      </c>
      <c r="AD119" t="s">
        <v>12</v>
      </c>
      <c r="AE119">
        <v>41549000000</v>
      </c>
      <c r="AF119" s="1">
        <v>45928</v>
      </c>
    </row>
    <row r="123" spans="10:32" x14ac:dyDescent="0.2">
      <c r="S123" s="1">
        <v>43373</v>
      </c>
      <c r="T123">
        <v>33327000000</v>
      </c>
      <c r="AB123" s="1">
        <v>43373</v>
      </c>
      <c r="AC123">
        <v>48914000000</v>
      </c>
    </row>
    <row r="124" spans="10:32" x14ac:dyDescent="0.2">
      <c r="S124" s="1">
        <v>43737</v>
      </c>
      <c r="T124">
        <v>37720000000</v>
      </c>
      <c r="AB124" s="1">
        <v>43737</v>
      </c>
      <c r="AC124">
        <v>50503000000</v>
      </c>
    </row>
    <row r="125" spans="10:32" x14ac:dyDescent="0.2">
      <c r="S125" s="1">
        <v>44101</v>
      </c>
      <c r="T125">
        <v>42684000000</v>
      </c>
      <c r="AB125" s="1">
        <v>44101</v>
      </c>
      <c r="AC125">
        <v>54490000000</v>
      </c>
    </row>
    <row r="126" spans="10:32" x14ac:dyDescent="0.2">
      <c r="S126" s="1">
        <v>44465</v>
      </c>
      <c r="T126">
        <v>47493000000</v>
      </c>
      <c r="AB126" s="1">
        <v>44465</v>
      </c>
      <c r="AC126">
        <v>53325000000</v>
      </c>
    </row>
    <row r="127" spans="10:32" x14ac:dyDescent="0.2">
      <c r="S127" s="1">
        <v>44829</v>
      </c>
      <c r="T127">
        <v>60845000000</v>
      </c>
      <c r="AB127" s="1">
        <v>44829</v>
      </c>
      <c r="AC127">
        <v>49142000000</v>
      </c>
    </row>
    <row r="128" spans="10:32" x14ac:dyDescent="0.2">
      <c r="S128" s="1">
        <v>45200</v>
      </c>
      <c r="T128">
        <v>58829000000</v>
      </c>
      <c r="AB128" s="1">
        <v>45200</v>
      </c>
      <c r="AC128">
        <v>49848000000</v>
      </c>
    </row>
    <row r="129" spans="19:29" x14ac:dyDescent="0.2">
      <c r="S129" s="1">
        <v>45564</v>
      </c>
      <c r="T129">
        <v>78304000000</v>
      </c>
      <c r="AB129" s="1">
        <v>45564</v>
      </c>
      <c r="AC129">
        <v>45888000000</v>
      </c>
    </row>
    <row r="130" spans="19:29" x14ac:dyDescent="0.2">
      <c r="S130" s="1">
        <v>45928</v>
      </c>
      <c r="T130">
        <v>66387000000</v>
      </c>
      <c r="AB130" s="1">
        <v>45928</v>
      </c>
      <c r="AC130">
        <v>41549000000</v>
      </c>
    </row>
    <row r="140" spans="19:29" x14ac:dyDescent="0.2">
      <c r="Y140" t="s">
        <v>140</v>
      </c>
    </row>
    <row r="141" spans="19:29" x14ac:dyDescent="0.2">
      <c r="Y141" s="1">
        <v>43373</v>
      </c>
      <c r="Z141">
        <f t="shared" ref="Z141:Z148" si="6">T123+AC123</f>
        <v>82241000000</v>
      </c>
    </row>
    <row r="142" spans="19:29" x14ac:dyDescent="0.2">
      <c r="Y142" s="1">
        <v>43737</v>
      </c>
      <c r="Z142">
        <f t="shared" si="6"/>
        <v>88223000000</v>
      </c>
    </row>
    <row r="143" spans="19:29" x14ac:dyDescent="0.2">
      <c r="Y143" s="1">
        <v>44101</v>
      </c>
      <c r="Z143">
        <f t="shared" si="6"/>
        <v>97174000000</v>
      </c>
    </row>
    <row r="144" spans="19:29" x14ac:dyDescent="0.2">
      <c r="Y144" s="1">
        <v>44465</v>
      </c>
      <c r="Z144">
        <f t="shared" si="6"/>
        <v>100818000000</v>
      </c>
    </row>
    <row r="145" spans="25:26" x14ac:dyDescent="0.2">
      <c r="Y145" s="1">
        <v>44829</v>
      </c>
      <c r="Z145">
        <f t="shared" si="6"/>
        <v>109987000000</v>
      </c>
    </row>
    <row r="146" spans="25:26" x14ac:dyDescent="0.2">
      <c r="Y146" s="1">
        <v>45200</v>
      </c>
      <c r="Z146">
        <f t="shared" si="6"/>
        <v>108677000000</v>
      </c>
    </row>
    <row r="147" spans="25:26" x14ac:dyDescent="0.2">
      <c r="Y147" s="1">
        <v>45564</v>
      </c>
      <c r="Z147">
        <f t="shared" si="6"/>
        <v>124192000000</v>
      </c>
    </row>
    <row r="148" spans="25:26" x14ac:dyDescent="0.2">
      <c r="Y148" s="1">
        <v>45928</v>
      </c>
      <c r="Z148">
        <f t="shared" si="6"/>
        <v>107936000000</v>
      </c>
    </row>
  </sheetData>
  <mergeCells count="1">
    <mergeCell ref="Z1:A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S2:Z57"/>
  <sheetViews>
    <sheetView topLeftCell="M1" zoomScale="119" workbookViewId="0">
      <selection activeCell="H14" sqref="H14"/>
    </sheetView>
  </sheetViews>
  <sheetFormatPr baseColWidth="10" defaultRowHeight="16" x14ac:dyDescent="0.2"/>
  <cols>
    <col min="19" max="19" width="11" bestFit="1" customWidth="1"/>
    <col min="20" max="20" width="12.1640625" bestFit="1" customWidth="1"/>
    <col min="22" max="22" width="28.33203125" customWidth="1"/>
    <col min="23" max="23" width="23.83203125" bestFit="1" customWidth="1"/>
    <col min="25" max="25" width="9.6640625" customWidth="1"/>
    <col min="26" max="26" width="11" bestFit="1" customWidth="1"/>
  </cols>
  <sheetData>
    <row r="2" spans="19:26" x14ac:dyDescent="0.2">
      <c r="S2" s="1">
        <v>42638</v>
      </c>
      <c r="T2">
        <v>128249000000</v>
      </c>
      <c r="V2" t="s">
        <v>65</v>
      </c>
      <c r="W2" t="s">
        <v>64</v>
      </c>
      <c r="X2" t="s">
        <v>12</v>
      </c>
      <c r="Y2">
        <v>128249000000</v>
      </c>
      <c r="Z2" s="1">
        <v>42638</v>
      </c>
    </row>
    <row r="3" spans="19:26" x14ac:dyDescent="0.2">
      <c r="S3" s="1">
        <v>43009</v>
      </c>
      <c r="T3">
        <v>134047000000</v>
      </c>
      <c r="V3" t="s">
        <v>65</v>
      </c>
      <c r="W3" t="s">
        <v>64</v>
      </c>
      <c r="X3" t="s">
        <v>12</v>
      </c>
      <c r="Y3">
        <v>134047000000</v>
      </c>
      <c r="Z3" s="1">
        <v>43009</v>
      </c>
    </row>
    <row r="4" spans="19:26" x14ac:dyDescent="0.2">
      <c r="S4" s="1">
        <v>43373</v>
      </c>
      <c r="T4">
        <v>107147000000</v>
      </c>
      <c r="V4" t="s">
        <v>65</v>
      </c>
      <c r="W4" t="s">
        <v>64</v>
      </c>
      <c r="X4" t="s">
        <v>12</v>
      </c>
      <c r="Y4">
        <v>134047000000</v>
      </c>
      <c r="Z4" s="1">
        <v>43009</v>
      </c>
    </row>
    <row r="5" spans="19:26" x14ac:dyDescent="0.2">
      <c r="S5" s="1">
        <v>43737</v>
      </c>
      <c r="T5">
        <v>90488000000</v>
      </c>
      <c r="V5" t="s">
        <v>65</v>
      </c>
      <c r="W5" t="s">
        <v>64</v>
      </c>
      <c r="X5" t="s">
        <v>12</v>
      </c>
      <c r="Y5">
        <v>134047000000</v>
      </c>
      <c r="Z5" s="1">
        <v>43009</v>
      </c>
    </row>
    <row r="6" spans="19:26" x14ac:dyDescent="0.2">
      <c r="S6" s="1">
        <v>44101</v>
      </c>
      <c r="T6">
        <v>65339000000</v>
      </c>
      <c r="V6" t="s">
        <v>65</v>
      </c>
      <c r="W6" t="s">
        <v>64</v>
      </c>
      <c r="X6" t="s">
        <v>12</v>
      </c>
      <c r="Y6">
        <v>107147000000</v>
      </c>
      <c r="Z6" s="1">
        <v>43373</v>
      </c>
    </row>
    <row r="7" spans="19:26" x14ac:dyDescent="0.2">
      <c r="S7" s="1">
        <v>44465</v>
      </c>
      <c r="T7">
        <v>63090000000</v>
      </c>
      <c r="V7" t="s">
        <v>65</v>
      </c>
      <c r="W7" t="s">
        <v>64</v>
      </c>
      <c r="X7" t="s">
        <v>12</v>
      </c>
      <c r="Y7">
        <v>107147000000</v>
      </c>
      <c r="Z7" s="1">
        <v>43373</v>
      </c>
    </row>
    <row r="8" spans="19:26" x14ac:dyDescent="0.2">
      <c r="S8" s="1">
        <v>44829</v>
      </c>
      <c r="T8">
        <v>50672000000</v>
      </c>
      <c r="V8" t="s">
        <v>65</v>
      </c>
      <c r="W8" t="s">
        <v>64</v>
      </c>
      <c r="X8" t="s">
        <v>12</v>
      </c>
      <c r="Y8">
        <v>107147000000</v>
      </c>
      <c r="Z8" s="1">
        <v>43373</v>
      </c>
    </row>
    <row r="9" spans="19:26" x14ac:dyDescent="0.2">
      <c r="S9" s="1">
        <v>45200</v>
      </c>
      <c r="T9">
        <v>62146000000</v>
      </c>
      <c r="V9" t="s">
        <v>65</v>
      </c>
      <c r="W9" t="s">
        <v>64</v>
      </c>
      <c r="X9" t="s">
        <v>12</v>
      </c>
      <c r="Y9">
        <v>107147000000</v>
      </c>
      <c r="Z9" s="1">
        <v>43373</v>
      </c>
    </row>
    <row r="10" spans="19:26" x14ac:dyDescent="0.2">
      <c r="S10" s="1">
        <v>45564</v>
      </c>
      <c r="T10">
        <v>56950000000</v>
      </c>
      <c r="V10" t="s">
        <v>65</v>
      </c>
      <c r="W10" t="s">
        <v>64</v>
      </c>
      <c r="X10" t="s">
        <v>12</v>
      </c>
      <c r="Y10">
        <v>107147000000</v>
      </c>
      <c r="Z10" s="1">
        <v>43373</v>
      </c>
    </row>
    <row r="11" spans="19:26" x14ac:dyDescent="0.2">
      <c r="S11" s="1">
        <v>45928</v>
      </c>
      <c r="T11">
        <v>73733000000</v>
      </c>
      <c r="V11" t="s">
        <v>65</v>
      </c>
      <c r="W11" t="s">
        <v>64</v>
      </c>
      <c r="X11" t="s">
        <v>12</v>
      </c>
      <c r="Y11">
        <v>107147000000</v>
      </c>
      <c r="Z11" s="1">
        <v>43373</v>
      </c>
    </row>
    <row r="12" spans="19:26" x14ac:dyDescent="0.2">
      <c r="V12" t="s">
        <v>65</v>
      </c>
      <c r="W12" t="s">
        <v>64</v>
      </c>
      <c r="X12" t="s">
        <v>12</v>
      </c>
      <c r="Y12">
        <v>90488000000</v>
      </c>
      <c r="Z12" s="1">
        <v>43737</v>
      </c>
    </row>
    <row r="13" spans="19:26" x14ac:dyDescent="0.2">
      <c r="V13" t="s">
        <v>65</v>
      </c>
      <c r="W13" t="s">
        <v>64</v>
      </c>
      <c r="X13" t="s">
        <v>12</v>
      </c>
      <c r="Y13">
        <v>90488000000</v>
      </c>
      <c r="Z13" s="1">
        <v>43737</v>
      </c>
    </row>
    <row r="14" spans="19:26" x14ac:dyDescent="0.2">
      <c r="V14" t="s">
        <v>65</v>
      </c>
      <c r="W14" t="s">
        <v>64</v>
      </c>
      <c r="X14" t="s">
        <v>12</v>
      </c>
      <c r="Y14">
        <v>90488000000</v>
      </c>
      <c r="Z14" s="1">
        <v>43737</v>
      </c>
    </row>
    <row r="15" spans="19:26" x14ac:dyDescent="0.2">
      <c r="V15" t="s">
        <v>65</v>
      </c>
      <c r="W15" t="s">
        <v>64</v>
      </c>
      <c r="X15" t="s">
        <v>12</v>
      </c>
      <c r="Y15">
        <v>90488000000</v>
      </c>
      <c r="Z15" s="1">
        <v>43737</v>
      </c>
    </row>
    <row r="16" spans="19:26" x14ac:dyDescent="0.2">
      <c r="V16" t="s">
        <v>65</v>
      </c>
      <c r="W16" t="s">
        <v>64</v>
      </c>
      <c r="X16" t="s">
        <v>12</v>
      </c>
      <c r="Y16">
        <v>90488000000</v>
      </c>
      <c r="Z16" s="1">
        <v>43737</v>
      </c>
    </row>
    <row r="17" spans="22:26" x14ac:dyDescent="0.2">
      <c r="V17" t="s">
        <v>65</v>
      </c>
      <c r="W17" t="s">
        <v>64</v>
      </c>
      <c r="X17" t="s">
        <v>12</v>
      </c>
      <c r="Y17">
        <v>90488000000</v>
      </c>
      <c r="Z17" s="1">
        <v>43737</v>
      </c>
    </row>
    <row r="18" spans="22:26" x14ac:dyDescent="0.2">
      <c r="V18" t="s">
        <v>65</v>
      </c>
      <c r="W18" t="s">
        <v>64</v>
      </c>
      <c r="X18" t="s">
        <v>12</v>
      </c>
      <c r="Y18">
        <v>90488000000</v>
      </c>
      <c r="Z18" s="1">
        <v>43737</v>
      </c>
    </row>
    <row r="19" spans="22:26" x14ac:dyDescent="0.2">
      <c r="V19" t="s">
        <v>65</v>
      </c>
      <c r="W19" t="s">
        <v>64</v>
      </c>
      <c r="X19" t="s">
        <v>12</v>
      </c>
      <c r="Y19">
        <v>90488000000</v>
      </c>
      <c r="Z19" s="1">
        <v>43737</v>
      </c>
    </row>
    <row r="20" spans="22:26" x14ac:dyDescent="0.2">
      <c r="V20" t="s">
        <v>65</v>
      </c>
      <c r="W20" t="s">
        <v>64</v>
      </c>
      <c r="X20" t="s">
        <v>12</v>
      </c>
      <c r="Y20">
        <v>65339000000</v>
      </c>
      <c r="Z20" s="1">
        <v>44101</v>
      </c>
    </row>
    <row r="21" spans="22:26" x14ac:dyDescent="0.2">
      <c r="V21" t="s">
        <v>65</v>
      </c>
      <c r="W21" t="s">
        <v>64</v>
      </c>
      <c r="X21" t="s">
        <v>12</v>
      </c>
      <c r="Y21">
        <v>65339000000</v>
      </c>
      <c r="Z21" s="1">
        <v>44101</v>
      </c>
    </row>
    <row r="22" spans="22:26" x14ac:dyDescent="0.2">
      <c r="V22" t="s">
        <v>65</v>
      </c>
      <c r="W22" t="s">
        <v>64</v>
      </c>
      <c r="X22" t="s">
        <v>12</v>
      </c>
      <c r="Y22">
        <v>65339000000</v>
      </c>
      <c r="Z22" s="1">
        <v>44101</v>
      </c>
    </row>
    <row r="23" spans="22:26" x14ac:dyDescent="0.2">
      <c r="V23" t="s">
        <v>65</v>
      </c>
      <c r="W23" t="s">
        <v>64</v>
      </c>
      <c r="X23" t="s">
        <v>12</v>
      </c>
      <c r="Y23">
        <v>65339000000</v>
      </c>
      <c r="Z23" s="1">
        <v>44101</v>
      </c>
    </row>
    <row r="24" spans="22:26" x14ac:dyDescent="0.2">
      <c r="V24" t="s">
        <v>65</v>
      </c>
      <c r="W24" t="s">
        <v>64</v>
      </c>
      <c r="X24" t="s">
        <v>12</v>
      </c>
      <c r="Y24">
        <v>65339000000</v>
      </c>
      <c r="Z24" s="1">
        <v>44101</v>
      </c>
    </row>
    <row r="25" spans="22:26" x14ac:dyDescent="0.2">
      <c r="V25" t="s">
        <v>65</v>
      </c>
      <c r="W25" t="s">
        <v>64</v>
      </c>
      <c r="X25" t="s">
        <v>12</v>
      </c>
      <c r="Y25">
        <v>65339000000</v>
      </c>
      <c r="Z25" s="1">
        <v>44101</v>
      </c>
    </row>
    <row r="26" spans="22:26" x14ac:dyDescent="0.2">
      <c r="V26" t="s">
        <v>65</v>
      </c>
      <c r="W26" t="s">
        <v>64</v>
      </c>
      <c r="X26" t="s">
        <v>12</v>
      </c>
      <c r="Y26">
        <v>65339000000</v>
      </c>
      <c r="Z26" s="1">
        <v>44101</v>
      </c>
    </row>
    <row r="27" spans="22:26" x14ac:dyDescent="0.2">
      <c r="V27" t="s">
        <v>65</v>
      </c>
      <c r="W27" t="s">
        <v>64</v>
      </c>
      <c r="X27" t="s">
        <v>12</v>
      </c>
      <c r="Y27">
        <v>65339000000</v>
      </c>
      <c r="Z27" s="1">
        <v>44101</v>
      </c>
    </row>
    <row r="28" spans="22:26" x14ac:dyDescent="0.2">
      <c r="V28" t="s">
        <v>65</v>
      </c>
      <c r="W28" t="s">
        <v>64</v>
      </c>
      <c r="X28" t="s">
        <v>12</v>
      </c>
      <c r="Y28">
        <v>63090000000</v>
      </c>
      <c r="Z28" s="1">
        <v>44465</v>
      </c>
    </row>
    <row r="29" spans="22:26" x14ac:dyDescent="0.2">
      <c r="V29" t="s">
        <v>65</v>
      </c>
      <c r="W29" t="s">
        <v>64</v>
      </c>
      <c r="X29" t="s">
        <v>12</v>
      </c>
      <c r="Y29">
        <v>63090000000</v>
      </c>
      <c r="Z29" s="1">
        <v>44465</v>
      </c>
    </row>
    <row r="30" spans="22:26" x14ac:dyDescent="0.2">
      <c r="V30" t="s">
        <v>65</v>
      </c>
      <c r="W30" t="s">
        <v>64</v>
      </c>
      <c r="X30" t="s">
        <v>12</v>
      </c>
      <c r="Y30">
        <v>63090000000</v>
      </c>
      <c r="Z30" s="1">
        <v>44465</v>
      </c>
    </row>
    <row r="31" spans="22:26" x14ac:dyDescent="0.2">
      <c r="V31" t="s">
        <v>65</v>
      </c>
      <c r="W31" t="s">
        <v>64</v>
      </c>
      <c r="X31" t="s">
        <v>12</v>
      </c>
      <c r="Y31">
        <v>63090000000</v>
      </c>
      <c r="Z31" s="1">
        <v>44465</v>
      </c>
    </row>
    <row r="32" spans="22:26" x14ac:dyDescent="0.2">
      <c r="V32" t="s">
        <v>65</v>
      </c>
      <c r="W32" t="s">
        <v>64</v>
      </c>
      <c r="X32" t="s">
        <v>12</v>
      </c>
      <c r="Y32">
        <v>63090000000</v>
      </c>
      <c r="Z32" s="1">
        <v>44465</v>
      </c>
    </row>
    <row r="33" spans="22:26" x14ac:dyDescent="0.2">
      <c r="V33" t="s">
        <v>65</v>
      </c>
      <c r="W33" t="s">
        <v>64</v>
      </c>
      <c r="X33" t="s">
        <v>12</v>
      </c>
      <c r="Y33">
        <v>63090000000</v>
      </c>
      <c r="Z33" s="1">
        <v>44465</v>
      </c>
    </row>
    <row r="34" spans="22:26" x14ac:dyDescent="0.2">
      <c r="V34" t="s">
        <v>65</v>
      </c>
      <c r="W34" t="s">
        <v>64</v>
      </c>
      <c r="X34" t="s">
        <v>12</v>
      </c>
      <c r="Y34">
        <v>63090000000</v>
      </c>
      <c r="Z34" s="1">
        <v>44465</v>
      </c>
    </row>
    <row r="35" spans="22:26" x14ac:dyDescent="0.2">
      <c r="V35" t="s">
        <v>65</v>
      </c>
      <c r="W35" t="s">
        <v>64</v>
      </c>
      <c r="X35" t="s">
        <v>12</v>
      </c>
      <c r="Y35">
        <v>63090000000</v>
      </c>
      <c r="Z35" s="1">
        <v>44465</v>
      </c>
    </row>
    <row r="36" spans="22:26" x14ac:dyDescent="0.2">
      <c r="V36" t="s">
        <v>65</v>
      </c>
      <c r="W36" t="s">
        <v>64</v>
      </c>
      <c r="X36" t="s">
        <v>12</v>
      </c>
      <c r="Y36">
        <v>50672000000</v>
      </c>
      <c r="Z36" s="1">
        <v>44829</v>
      </c>
    </row>
    <row r="37" spans="22:26" x14ac:dyDescent="0.2">
      <c r="V37" t="s">
        <v>65</v>
      </c>
      <c r="W37" t="s">
        <v>64</v>
      </c>
      <c r="X37" t="s">
        <v>12</v>
      </c>
      <c r="Y37">
        <v>50672000000</v>
      </c>
      <c r="Z37" s="1">
        <v>44829</v>
      </c>
    </row>
    <row r="38" spans="22:26" x14ac:dyDescent="0.2">
      <c r="V38" t="s">
        <v>65</v>
      </c>
      <c r="W38" t="s">
        <v>64</v>
      </c>
      <c r="X38" t="s">
        <v>12</v>
      </c>
      <c r="Y38">
        <v>50672000000</v>
      </c>
      <c r="Z38" s="1">
        <v>44829</v>
      </c>
    </row>
    <row r="39" spans="22:26" x14ac:dyDescent="0.2">
      <c r="V39" t="s">
        <v>65</v>
      </c>
      <c r="W39" t="s">
        <v>64</v>
      </c>
      <c r="X39" t="s">
        <v>12</v>
      </c>
      <c r="Y39">
        <v>50672000000</v>
      </c>
      <c r="Z39" s="1">
        <v>44829</v>
      </c>
    </row>
    <row r="40" spans="22:26" x14ac:dyDescent="0.2">
      <c r="V40" t="s">
        <v>65</v>
      </c>
      <c r="W40" t="s">
        <v>64</v>
      </c>
      <c r="X40" t="s">
        <v>12</v>
      </c>
      <c r="Y40">
        <v>50672000000</v>
      </c>
      <c r="Z40" s="1">
        <v>44829</v>
      </c>
    </row>
    <row r="41" spans="22:26" x14ac:dyDescent="0.2">
      <c r="V41" t="s">
        <v>65</v>
      </c>
      <c r="W41" t="s">
        <v>64</v>
      </c>
      <c r="X41" t="s">
        <v>12</v>
      </c>
      <c r="Y41">
        <v>50672000000</v>
      </c>
      <c r="Z41" s="1">
        <v>44829</v>
      </c>
    </row>
    <row r="42" spans="22:26" x14ac:dyDescent="0.2">
      <c r="V42" t="s">
        <v>65</v>
      </c>
      <c r="W42" t="s">
        <v>64</v>
      </c>
      <c r="X42" t="s">
        <v>12</v>
      </c>
      <c r="Y42">
        <v>50672000000</v>
      </c>
      <c r="Z42" s="1">
        <v>44829</v>
      </c>
    </row>
    <row r="43" spans="22:26" x14ac:dyDescent="0.2">
      <c r="V43" t="s">
        <v>65</v>
      </c>
      <c r="W43" t="s">
        <v>64</v>
      </c>
      <c r="X43" t="s">
        <v>12</v>
      </c>
      <c r="Y43">
        <v>50672000000</v>
      </c>
      <c r="Z43" s="1">
        <v>44829</v>
      </c>
    </row>
    <row r="44" spans="22:26" x14ac:dyDescent="0.2">
      <c r="V44" t="s">
        <v>65</v>
      </c>
      <c r="W44" t="s">
        <v>64</v>
      </c>
      <c r="X44" t="s">
        <v>12</v>
      </c>
      <c r="Y44">
        <v>62146000000</v>
      </c>
      <c r="Z44" s="1">
        <v>45200</v>
      </c>
    </row>
    <row r="45" spans="22:26" x14ac:dyDescent="0.2">
      <c r="V45" t="s">
        <v>65</v>
      </c>
      <c r="W45" t="s">
        <v>64</v>
      </c>
      <c r="X45" t="s">
        <v>12</v>
      </c>
      <c r="Y45">
        <v>62146000000</v>
      </c>
      <c r="Z45" s="1">
        <v>45200</v>
      </c>
    </row>
    <row r="46" spans="22:26" x14ac:dyDescent="0.2">
      <c r="V46" t="s">
        <v>65</v>
      </c>
      <c r="W46" t="s">
        <v>64</v>
      </c>
      <c r="X46" t="s">
        <v>12</v>
      </c>
      <c r="Y46">
        <v>62146000000</v>
      </c>
      <c r="Z46" s="1">
        <v>45200</v>
      </c>
    </row>
    <row r="47" spans="22:26" x14ac:dyDescent="0.2">
      <c r="V47" t="s">
        <v>65</v>
      </c>
      <c r="W47" t="s">
        <v>64</v>
      </c>
      <c r="X47" t="s">
        <v>12</v>
      </c>
      <c r="Y47">
        <v>62146000000</v>
      </c>
      <c r="Z47" s="1">
        <v>45200</v>
      </c>
    </row>
    <row r="48" spans="22:26" x14ac:dyDescent="0.2">
      <c r="V48" t="s">
        <v>65</v>
      </c>
      <c r="W48" t="s">
        <v>64</v>
      </c>
      <c r="X48" t="s">
        <v>12</v>
      </c>
      <c r="Y48">
        <v>62146000000</v>
      </c>
      <c r="Z48" s="1">
        <v>45200</v>
      </c>
    </row>
    <row r="49" spans="22:26" x14ac:dyDescent="0.2">
      <c r="V49" t="s">
        <v>65</v>
      </c>
      <c r="W49" t="s">
        <v>64</v>
      </c>
      <c r="X49" t="s">
        <v>12</v>
      </c>
      <c r="Y49">
        <v>62146000000</v>
      </c>
      <c r="Z49" s="1">
        <v>45200</v>
      </c>
    </row>
    <row r="50" spans="22:26" x14ac:dyDescent="0.2">
      <c r="V50" t="s">
        <v>65</v>
      </c>
      <c r="W50" t="s">
        <v>64</v>
      </c>
      <c r="X50" t="s">
        <v>12</v>
      </c>
      <c r="Y50">
        <v>62146000000</v>
      </c>
      <c r="Z50" s="1">
        <v>45200</v>
      </c>
    </row>
    <row r="51" spans="22:26" x14ac:dyDescent="0.2">
      <c r="V51" t="s">
        <v>65</v>
      </c>
      <c r="W51" t="s">
        <v>64</v>
      </c>
      <c r="X51" t="s">
        <v>12</v>
      </c>
      <c r="Y51">
        <v>56950000000</v>
      </c>
      <c r="Z51" s="1">
        <v>45564</v>
      </c>
    </row>
    <row r="52" spans="22:26" x14ac:dyDescent="0.2">
      <c r="V52" t="s">
        <v>65</v>
      </c>
      <c r="W52" t="s">
        <v>64</v>
      </c>
      <c r="X52" t="s">
        <v>12</v>
      </c>
      <c r="Y52">
        <v>56950000000</v>
      </c>
      <c r="Z52" s="1">
        <v>45564</v>
      </c>
    </row>
    <row r="53" spans="22:26" x14ac:dyDescent="0.2">
      <c r="V53" t="s">
        <v>65</v>
      </c>
      <c r="W53" t="s">
        <v>64</v>
      </c>
      <c r="X53" t="s">
        <v>12</v>
      </c>
      <c r="Y53">
        <v>56950000000</v>
      </c>
      <c r="Z53" s="1">
        <v>45564</v>
      </c>
    </row>
    <row r="54" spans="22:26" x14ac:dyDescent="0.2">
      <c r="V54" t="s">
        <v>65</v>
      </c>
      <c r="W54" t="s">
        <v>64</v>
      </c>
      <c r="X54" t="s">
        <v>12</v>
      </c>
      <c r="Y54">
        <v>56950000000</v>
      </c>
      <c r="Z54" s="1">
        <v>45564</v>
      </c>
    </row>
    <row r="55" spans="22:26" x14ac:dyDescent="0.2">
      <c r="V55" t="s">
        <v>65</v>
      </c>
      <c r="W55" t="s">
        <v>64</v>
      </c>
      <c r="X55" t="s">
        <v>12</v>
      </c>
      <c r="Y55">
        <v>56950000000</v>
      </c>
      <c r="Z55" s="1">
        <v>45564</v>
      </c>
    </row>
    <row r="56" spans="22:26" x14ac:dyDescent="0.2">
      <c r="V56" t="s">
        <v>65</v>
      </c>
      <c r="W56" t="s">
        <v>64</v>
      </c>
      <c r="X56" t="s">
        <v>12</v>
      </c>
      <c r="Y56">
        <v>73733000000</v>
      </c>
      <c r="Z56" s="1">
        <v>45928</v>
      </c>
    </row>
    <row r="57" spans="22:26" x14ac:dyDescent="0.2">
      <c r="V57" t="s">
        <v>65</v>
      </c>
      <c r="W57" t="s">
        <v>64</v>
      </c>
      <c r="X57" t="s">
        <v>12</v>
      </c>
      <c r="Y57">
        <v>73733000000</v>
      </c>
      <c r="Z57" s="1">
        <v>45928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16"/>
  <sheetViews>
    <sheetView topLeftCell="E37" zoomScale="81" workbookViewId="0">
      <selection activeCell="M70" sqref="M70"/>
    </sheetView>
  </sheetViews>
  <sheetFormatPr baseColWidth="10" defaultRowHeight="16" x14ac:dyDescent="0.2"/>
  <cols>
    <col min="1" max="1" width="18" bestFit="1" customWidth="1"/>
    <col min="2" max="2" width="34" bestFit="1" customWidth="1"/>
    <col min="4" max="4" width="10" customWidth="1"/>
    <col min="6" max="6" width="9.5" customWidth="1"/>
    <col min="8" max="8" width="11.1640625" customWidth="1"/>
    <col min="10" max="10" width="31.5" bestFit="1" customWidth="1"/>
    <col min="11" max="11" width="41" bestFit="1" customWidth="1"/>
    <col min="13" max="13" width="12.1640625" bestFit="1" customWidth="1"/>
    <col min="14" max="14" width="11" bestFit="1" customWidth="1"/>
    <col min="16" max="16" width="12.33203125" bestFit="1" customWidth="1"/>
    <col min="17" max="17" width="11.1640625" customWidth="1"/>
    <col min="18" max="18" width="10.5" customWidth="1"/>
    <col min="19" max="19" width="23.1640625" bestFit="1" customWidth="1"/>
    <col min="22" max="22" width="10.6640625" customWidth="1"/>
    <col min="23" max="23" width="11" bestFit="1" customWidth="1"/>
    <col min="25" max="25" width="11" bestFit="1" customWidth="1"/>
    <col min="26" max="26" width="12.1640625" bestFit="1" customWidth="1"/>
    <col min="27" max="27" width="13.5" bestFit="1" customWidth="1"/>
  </cols>
  <sheetData>
    <row r="1" spans="1:30" x14ac:dyDescent="0.2">
      <c r="Q1" t="s">
        <v>129</v>
      </c>
      <c r="T1" t="s">
        <v>116</v>
      </c>
    </row>
    <row r="2" spans="1:30" x14ac:dyDescent="0.2">
      <c r="A2" t="s">
        <v>41</v>
      </c>
      <c r="B2" t="s">
        <v>42</v>
      </c>
      <c r="C2" t="s">
        <v>12</v>
      </c>
      <c r="D2">
        <v>23186000000</v>
      </c>
      <c r="E2" s="1">
        <v>43373</v>
      </c>
      <c r="F2">
        <v>23186000000</v>
      </c>
      <c r="J2" t="s">
        <v>66</v>
      </c>
      <c r="K2" t="s">
        <v>67</v>
      </c>
      <c r="L2" t="s">
        <v>12</v>
      </c>
      <c r="M2">
        <v>10157000000</v>
      </c>
      <c r="N2" s="1">
        <v>43009</v>
      </c>
      <c r="Q2">
        <f>M20+M35</f>
        <v>365725000000</v>
      </c>
      <c r="T2">
        <f>D2+D35+M35+V35</f>
        <v>287441000000</v>
      </c>
      <c r="Z2" t="s">
        <v>47</v>
      </c>
      <c r="AA2" t="s">
        <v>48</v>
      </c>
      <c r="AB2" t="s">
        <v>12</v>
      </c>
      <c r="AC2">
        <v>365725000000</v>
      </c>
    </row>
    <row r="3" spans="1:30" x14ac:dyDescent="0.2">
      <c r="A3" t="s">
        <v>41</v>
      </c>
      <c r="B3" t="s">
        <v>42</v>
      </c>
      <c r="C3" t="s">
        <v>12</v>
      </c>
      <c r="D3">
        <v>22926000000</v>
      </c>
      <c r="E3" s="1">
        <v>43737</v>
      </c>
      <c r="F3">
        <v>22926000000</v>
      </c>
      <c r="J3" t="s">
        <v>66</v>
      </c>
      <c r="K3" t="s">
        <v>67</v>
      </c>
      <c r="L3" t="s">
        <v>12</v>
      </c>
      <c r="M3">
        <v>10903000000</v>
      </c>
      <c r="N3" s="1">
        <v>43373</v>
      </c>
      <c r="Q3">
        <f t="shared" ref="Q3:Q9" si="0">M21+M36</f>
        <v>338516000000</v>
      </c>
      <c r="Z3" t="s">
        <v>47</v>
      </c>
      <c r="AA3" t="s">
        <v>48</v>
      </c>
      <c r="AB3" t="s">
        <v>12</v>
      </c>
      <c r="AC3">
        <v>338516000000</v>
      </c>
    </row>
    <row r="4" spans="1:30" x14ac:dyDescent="0.2">
      <c r="A4" t="s">
        <v>41</v>
      </c>
      <c r="B4" t="s">
        <v>42</v>
      </c>
      <c r="C4" t="s">
        <v>12</v>
      </c>
      <c r="D4">
        <v>16120000000</v>
      </c>
      <c r="E4" s="1">
        <v>44101</v>
      </c>
      <c r="F4">
        <v>16120000000</v>
      </c>
      <c r="J4" t="s">
        <v>66</v>
      </c>
      <c r="K4" t="s">
        <v>67</v>
      </c>
      <c r="L4" t="s">
        <v>12</v>
      </c>
      <c r="M4">
        <v>12547000000</v>
      </c>
      <c r="N4" s="1">
        <v>43737</v>
      </c>
      <c r="Q4">
        <f t="shared" si="0"/>
        <v>323888000000</v>
      </c>
      <c r="Z4" t="s">
        <v>47</v>
      </c>
      <c r="AA4" t="s">
        <v>48</v>
      </c>
      <c r="AB4" t="s">
        <v>12</v>
      </c>
      <c r="AC4">
        <v>323888000000</v>
      </c>
    </row>
    <row r="5" spans="1:30" x14ac:dyDescent="0.2">
      <c r="A5" t="s">
        <v>41</v>
      </c>
      <c r="B5" t="s">
        <v>42</v>
      </c>
      <c r="C5" t="s">
        <v>12</v>
      </c>
      <c r="D5">
        <v>26278000000</v>
      </c>
      <c r="E5" s="1">
        <v>44465</v>
      </c>
      <c r="F5">
        <v>26278000000</v>
      </c>
      <c r="J5" t="s">
        <v>66</v>
      </c>
      <c r="K5" t="s">
        <v>67</v>
      </c>
      <c r="L5" t="s">
        <v>12</v>
      </c>
      <c r="M5">
        <v>11056000000</v>
      </c>
      <c r="N5" s="1">
        <v>44101</v>
      </c>
      <c r="Q5">
        <f t="shared" si="0"/>
        <v>351002000000</v>
      </c>
      <c r="Z5" t="s">
        <v>47</v>
      </c>
      <c r="AA5" t="s">
        <v>48</v>
      </c>
      <c r="AB5" t="s">
        <v>12</v>
      </c>
      <c r="AC5">
        <v>351002000000</v>
      </c>
    </row>
    <row r="6" spans="1:30" x14ac:dyDescent="0.2">
      <c r="A6" t="s">
        <v>41</v>
      </c>
      <c r="B6" t="s">
        <v>42</v>
      </c>
      <c r="C6" t="s">
        <v>12</v>
      </c>
      <c r="D6">
        <v>28184000000</v>
      </c>
      <c r="E6" s="1">
        <v>44829</v>
      </c>
      <c r="F6">
        <v>28184000000</v>
      </c>
      <c r="J6" t="s">
        <v>66</v>
      </c>
      <c r="K6" t="s">
        <v>67</v>
      </c>
      <c r="L6" t="s">
        <v>12</v>
      </c>
      <c r="M6">
        <v>11284000000</v>
      </c>
      <c r="N6" s="1">
        <v>44465</v>
      </c>
      <c r="Q6">
        <f t="shared" si="0"/>
        <v>352755000000</v>
      </c>
      <c r="Z6" t="s">
        <v>47</v>
      </c>
      <c r="AA6" t="s">
        <v>48</v>
      </c>
      <c r="AB6" t="s">
        <v>12</v>
      </c>
      <c r="AC6">
        <v>352755000000</v>
      </c>
    </row>
    <row r="7" spans="1:30" x14ac:dyDescent="0.2">
      <c r="A7" t="s">
        <v>41</v>
      </c>
      <c r="B7" t="s">
        <v>42</v>
      </c>
      <c r="C7" t="s">
        <v>12</v>
      </c>
      <c r="D7">
        <v>29508000000</v>
      </c>
      <c r="E7" s="1">
        <v>45200</v>
      </c>
      <c r="F7">
        <v>29508000000</v>
      </c>
      <c r="J7" t="s">
        <v>66</v>
      </c>
      <c r="K7" t="s">
        <v>67</v>
      </c>
      <c r="L7" t="s">
        <v>12</v>
      </c>
      <c r="M7">
        <v>11104000000</v>
      </c>
      <c r="N7" s="1">
        <v>44829</v>
      </c>
      <c r="Q7">
        <f t="shared" si="0"/>
        <v>352583000000</v>
      </c>
      <c r="Z7" t="s">
        <v>47</v>
      </c>
      <c r="AA7" t="s">
        <v>48</v>
      </c>
      <c r="AB7" t="s">
        <v>12</v>
      </c>
      <c r="AC7">
        <v>352583000000</v>
      </c>
    </row>
    <row r="8" spans="1:30" x14ac:dyDescent="0.2">
      <c r="A8" t="s">
        <v>41</v>
      </c>
      <c r="B8" t="s">
        <v>42</v>
      </c>
      <c r="C8" t="s">
        <v>12</v>
      </c>
      <c r="D8">
        <v>33410000000</v>
      </c>
      <c r="E8" s="1">
        <v>45564</v>
      </c>
      <c r="F8">
        <v>33410000000</v>
      </c>
      <c r="J8" t="s">
        <v>66</v>
      </c>
      <c r="K8" t="s">
        <v>67</v>
      </c>
      <c r="L8" t="s">
        <v>12</v>
      </c>
      <c r="M8">
        <v>11519000000</v>
      </c>
      <c r="N8" s="1">
        <v>45200</v>
      </c>
      <c r="Q8">
        <f t="shared" si="0"/>
        <v>364980000000</v>
      </c>
      <c r="Z8" t="s">
        <v>47</v>
      </c>
      <c r="AA8" t="s">
        <v>48</v>
      </c>
      <c r="AB8" t="s">
        <v>12</v>
      </c>
      <c r="AC8">
        <v>364980000000</v>
      </c>
    </row>
    <row r="9" spans="1:30" x14ac:dyDescent="0.2">
      <c r="A9" t="s">
        <v>41</v>
      </c>
      <c r="B9" t="s">
        <v>42</v>
      </c>
      <c r="C9" t="s">
        <v>12</v>
      </c>
      <c r="D9">
        <v>39777000000</v>
      </c>
      <c r="E9" s="1">
        <v>45928</v>
      </c>
      <c r="F9">
        <v>39777000000</v>
      </c>
      <c r="J9" t="s">
        <v>66</v>
      </c>
      <c r="K9" t="s">
        <v>67</v>
      </c>
      <c r="L9" t="s">
        <v>12</v>
      </c>
      <c r="M9">
        <v>11445000000</v>
      </c>
      <c r="N9" s="1">
        <v>45564</v>
      </c>
      <c r="Q9">
        <f t="shared" si="0"/>
        <v>359241000000</v>
      </c>
      <c r="Z9" t="s">
        <v>47</v>
      </c>
      <c r="AA9" t="s">
        <v>48</v>
      </c>
      <c r="AB9" t="s">
        <v>12</v>
      </c>
      <c r="AC9">
        <v>359241000000</v>
      </c>
    </row>
    <row r="10" spans="1:30" x14ac:dyDescent="0.2">
      <c r="J10" t="s">
        <v>66</v>
      </c>
      <c r="K10" t="s">
        <v>67</v>
      </c>
      <c r="L10" t="s">
        <v>12</v>
      </c>
      <c r="M10">
        <v>11698000000</v>
      </c>
      <c r="N10" s="1">
        <v>45928</v>
      </c>
      <c r="AD10" s="1"/>
    </row>
    <row r="11" spans="1:30" x14ac:dyDescent="0.2">
      <c r="AC11" s="1">
        <v>43373</v>
      </c>
      <c r="AD11">
        <v>365725000000</v>
      </c>
    </row>
    <row r="12" spans="1:30" x14ac:dyDescent="0.2">
      <c r="AC12" s="1">
        <v>43737</v>
      </c>
      <c r="AD12">
        <v>338516000000</v>
      </c>
    </row>
    <row r="13" spans="1:30" x14ac:dyDescent="0.2">
      <c r="AC13" s="1">
        <v>44101</v>
      </c>
      <c r="AD13">
        <v>323888000000</v>
      </c>
    </row>
    <row r="14" spans="1:30" x14ac:dyDescent="0.2">
      <c r="AC14" s="1">
        <v>44465</v>
      </c>
      <c r="AD14">
        <v>351002000000</v>
      </c>
    </row>
    <row r="15" spans="1:30" x14ac:dyDescent="0.2">
      <c r="AC15" s="1">
        <v>44829</v>
      </c>
      <c r="AD15">
        <v>352755000000</v>
      </c>
    </row>
    <row r="16" spans="1:30" x14ac:dyDescent="0.2">
      <c r="AC16" s="1">
        <v>45200</v>
      </c>
      <c r="AD16">
        <v>352583000000</v>
      </c>
    </row>
    <row r="17" spans="10:30" x14ac:dyDescent="0.2">
      <c r="AC17" s="1">
        <v>45564</v>
      </c>
      <c r="AD17">
        <v>364980000000</v>
      </c>
    </row>
    <row r="18" spans="10:30" x14ac:dyDescent="0.2">
      <c r="AC18" s="1">
        <v>45928</v>
      </c>
      <c r="AD18">
        <v>359241000000</v>
      </c>
    </row>
    <row r="19" spans="10:30" x14ac:dyDescent="0.2">
      <c r="J19" s="7" t="s">
        <v>132</v>
      </c>
      <c r="K19" s="7"/>
      <c r="L19" s="7"/>
      <c r="M19" s="7"/>
      <c r="N19" s="7"/>
      <c r="O19" s="7"/>
      <c r="P19" s="7"/>
      <c r="R19" t="s">
        <v>130</v>
      </c>
      <c r="AD19" s="1"/>
    </row>
    <row r="20" spans="10:30" x14ac:dyDescent="0.2">
      <c r="J20" t="s">
        <v>118</v>
      </c>
      <c r="K20" t="s">
        <v>119</v>
      </c>
      <c r="L20" t="s">
        <v>12</v>
      </c>
      <c r="M20">
        <v>131339000000</v>
      </c>
      <c r="N20" s="1">
        <v>43373</v>
      </c>
      <c r="P20">
        <f>D35+D2+V35+D54+D67</f>
        <v>105530000000</v>
      </c>
      <c r="R20">
        <f t="shared" ref="R20:R27" si="1">M20-P20</f>
        <v>25809000000</v>
      </c>
      <c r="AD20" s="1"/>
    </row>
    <row r="21" spans="10:30" x14ac:dyDescent="0.2">
      <c r="J21" t="s">
        <v>118</v>
      </c>
      <c r="K21" t="s">
        <v>119</v>
      </c>
      <c r="L21" t="s">
        <v>12</v>
      </c>
      <c r="M21">
        <v>162819000000</v>
      </c>
      <c r="N21" s="1">
        <v>43737</v>
      </c>
      <c r="P21">
        <f t="shared" ref="P21:P27" si="2">D36+D3+V36+D55+D68</f>
        <v>139941000000</v>
      </c>
      <c r="R21">
        <f t="shared" si="1"/>
        <v>22878000000</v>
      </c>
      <c r="AD21" s="1"/>
    </row>
    <row r="22" spans="10:30" x14ac:dyDescent="0.2">
      <c r="J22" t="s">
        <v>118</v>
      </c>
      <c r="K22" t="s">
        <v>119</v>
      </c>
      <c r="L22" t="s">
        <v>12</v>
      </c>
      <c r="M22">
        <v>143713000000</v>
      </c>
      <c r="N22" s="1">
        <v>44101</v>
      </c>
      <c r="P22">
        <f t="shared" si="2"/>
        <v>122388000000</v>
      </c>
      <c r="R22">
        <f t="shared" si="1"/>
        <v>21325000000</v>
      </c>
      <c r="AD22" s="1"/>
    </row>
    <row r="23" spans="10:30" x14ac:dyDescent="0.2">
      <c r="J23" t="s">
        <v>118</v>
      </c>
      <c r="K23" t="s">
        <v>119</v>
      </c>
      <c r="L23" t="s">
        <v>12</v>
      </c>
      <c r="M23">
        <v>134836000000</v>
      </c>
      <c r="N23" s="1">
        <v>44465</v>
      </c>
      <c r="P23">
        <f t="shared" si="2"/>
        <v>109608000000</v>
      </c>
      <c r="R23">
        <f t="shared" si="1"/>
        <v>25228000000</v>
      </c>
      <c r="AD23" s="1"/>
    </row>
    <row r="24" spans="10:30" x14ac:dyDescent="0.2">
      <c r="J24" t="s">
        <v>118</v>
      </c>
      <c r="K24" t="s">
        <v>119</v>
      </c>
      <c r="L24" t="s">
        <v>12</v>
      </c>
      <c r="M24">
        <v>135405000000</v>
      </c>
      <c r="N24" s="1">
        <v>44829</v>
      </c>
      <c r="P24">
        <f t="shared" si="2"/>
        <v>102657000000</v>
      </c>
      <c r="R24">
        <f t="shared" si="1"/>
        <v>32748000000</v>
      </c>
      <c r="AD24" s="1"/>
    </row>
    <row r="25" spans="10:30" x14ac:dyDescent="0.2">
      <c r="J25" t="s">
        <v>118</v>
      </c>
      <c r="K25" t="s">
        <v>119</v>
      </c>
      <c r="L25" t="s">
        <v>12</v>
      </c>
      <c r="M25">
        <v>143566000000</v>
      </c>
      <c r="N25" s="1">
        <v>45200</v>
      </c>
      <c r="P25">
        <f t="shared" si="2"/>
        <v>112089000000</v>
      </c>
      <c r="R25">
        <f t="shared" si="1"/>
        <v>31477000000</v>
      </c>
      <c r="AD25" s="1"/>
    </row>
    <row r="26" spans="10:30" x14ac:dyDescent="0.2">
      <c r="J26" t="s">
        <v>118</v>
      </c>
      <c r="K26" t="s">
        <v>119</v>
      </c>
      <c r="L26" t="s">
        <v>12</v>
      </c>
      <c r="M26">
        <v>152987000000</v>
      </c>
      <c r="N26" s="1">
        <v>45564</v>
      </c>
      <c r="P26">
        <f t="shared" si="2"/>
        <v>120154000000</v>
      </c>
      <c r="R26">
        <f t="shared" si="1"/>
        <v>32833000000</v>
      </c>
      <c r="AD26" s="1"/>
    </row>
    <row r="27" spans="10:30" x14ac:dyDescent="0.2">
      <c r="J27" t="s">
        <v>118</v>
      </c>
      <c r="K27" t="s">
        <v>119</v>
      </c>
      <c r="L27" t="s">
        <v>12</v>
      </c>
      <c r="M27">
        <v>147957000000</v>
      </c>
      <c r="N27" s="1">
        <v>45928</v>
      </c>
      <c r="P27">
        <f t="shared" si="2"/>
        <v>114777000000</v>
      </c>
      <c r="R27">
        <f t="shared" si="1"/>
        <v>33180000000</v>
      </c>
      <c r="AD27" s="1"/>
    </row>
    <row r="28" spans="10:30" x14ac:dyDescent="0.2">
      <c r="AD28" s="1"/>
    </row>
    <row r="29" spans="10:30" x14ac:dyDescent="0.2">
      <c r="AD29" s="1"/>
    </row>
    <row r="34" spans="1:33" x14ac:dyDescent="0.2">
      <c r="K34" s="7" t="s">
        <v>131</v>
      </c>
      <c r="L34" s="7"/>
      <c r="M34" s="7"/>
      <c r="N34" s="7"/>
      <c r="O34" s="7"/>
      <c r="P34" s="7"/>
    </row>
    <row r="35" spans="1:33" x14ac:dyDescent="0.2">
      <c r="A35" t="s">
        <v>43</v>
      </c>
      <c r="B35" t="s">
        <v>44</v>
      </c>
      <c r="C35" t="s">
        <v>12</v>
      </c>
      <c r="D35">
        <v>3956000000</v>
      </c>
      <c r="E35" s="1">
        <v>43373</v>
      </c>
      <c r="F35">
        <v>3956000000</v>
      </c>
      <c r="J35" t="s">
        <v>86</v>
      </c>
      <c r="K35" t="s">
        <v>87</v>
      </c>
      <c r="L35" t="s">
        <v>12</v>
      </c>
      <c r="M35">
        <v>234386000000</v>
      </c>
      <c r="N35" s="1">
        <v>43373</v>
      </c>
      <c r="P35">
        <f>M54+M67+M82</f>
        <v>234386000000</v>
      </c>
      <c r="S35" t="s">
        <v>39</v>
      </c>
      <c r="T35" t="s">
        <v>38</v>
      </c>
      <c r="U35" t="s">
        <v>12</v>
      </c>
      <c r="V35">
        <v>25913000000</v>
      </c>
      <c r="W35" s="1">
        <v>43373</v>
      </c>
      <c r="Y35" s="1">
        <v>43373</v>
      </c>
      <c r="Z35">
        <v>25913000000</v>
      </c>
    </row>
    <row r="36" spans="1:33" x14ac:dyDescent="0.2">
      <c r="A36" t="s">
        <v>43</v>
      </c>
      <c r="B36" t="s">
        <v>44</v>
      </c>
      <c r="C36" t="s">
        <v>12</v>
      </c>
      <c r="D36">
        <v>4106000000</v>
      </c>
      <c r="E36" s="1">
        <v>43737</v>
      </c>
      <c r="F36">
        <v>4106000000</v>
      </c>
      <c r="J36" t="s">
        <v>86</v>
      </c>
      <c r="K36" t="s">
        <v>87</v>
      </c>
      <c r="L36" t="s">
        <v>12</v>
      </c>
      <c r="M36">
        <v>175697000000</v>
      </c>
      <c r="N36" s="1">
        <v>43737</v>
      </c>
      <c r="P36">
        <f t="shared" ref="P36:P42" si="3">M55+M68+M83</f>
        <v>175697000000</v>
      </c>
      <c r="S36" t="s">
        <v>39</v>
      </c>
      <c r="T36" t="s">
        <v>38</v>
      </c>
      <c r="U36" t="s">
        <v>12</v>
      </c>
      <c r="V36">
        <v>48844000000</v>
      </c>
      <c r="W36" s="1">
        <v>43737</v>
      </c>
      <c r="Y36" s="1">
        <v>43737</v>
      </c>
      <c r="Z36">
        <v>48844000000</v>
      </c>
    </row>
    <row r="37" spans="1:33" x14ac:dyDescent="0.2">
      <c r="A37" t="s">
        <v>43</v>
      </c>
      <c r="B37" t="s">
        <v>44</v>
      </c>
      <c r="C37" t="s">
        <v>12</v>
      </c>
      <c r="D37">
        <v>4061000000</v>
      </c>
      <c r="E37" s="1">
        <v>44101</v>
      </c>
      <c r="F37">
        <v>4061000000</v>
      </c>
      <c r="J37" t="s">
        <v>86</v>
      </c>
      <c r="K37" t="s">
        <v>87</v>
      </c>
      <c r="L37" t="s">
        <v>12</v>
      </c>
      <c r="M37">
        <v>180175000000</v>
      </c>
      <c r="N37" s="1">
        <v>44101</v>
      </c>
      <c r="P37">
        <f t="shared" si="3"/>
        <v>180175000000</v>
      </c>
      <c r="S37" t="s">
        <v>39</v>
      </c>
      <c r="T37" t="s">
        <v>38</v>
      </c>
      <c r="U37" t="s">
        <v>12</v>
      </c>
      <c r="V37">
        <v>38016000000</v>
      </c>
      <c r="W37" s="1">
        <v>44101</v>
      </c>
      <c r="Y37" s="1">
        <v>44101</v>
      </c>
      <c r="Z37">
        <v>38016000000</v>
      </c>
    </row>
    <row r="38" spans="1:33" x14ac:dyDescent="0.2">
      <c r="A38" t="s">
        <v>43</v>
      </c>
      <c r="B38" t="s">
        <v>44</v>
      </c>
      <c r="C38" t="s">
        <v>12</v>
      </c>
      <c r="D38">
        <v>6580000000</v>
      </c>
      <c r="E38" s="1">
        <v>44465</v>
      </c>
      <c r="F38">
        <v>6580000000</v>
      </c>
      <c r="J38" t="s">
        <v>86</v>
      </c>
      <c r="K38" t="s">
        <v>87</v>
      </c>
      <c r="L38" t="s">
        <v>12</v>
      </c>
      <c r="M38">
        <v>216166000000</v>
      </c>
      <c r="N38" s="1">
        <v>44465</v>
      </c>
      <c r="P38">
        <f t="shared" si="3"/>
        <v>216166000000</v>
      </c>
      <c r="S38" t="s">
        <v>39</v>
      </c>
      <c r="T38" t="s">
        <v>38</v>
      </c>
      <c r="U38" t="s">
        <v>12</v>
      </c>
      <c r="V38">
        <v>34940000000</v>
      </c>
      <c r="W38" s="1">
        <v>44465</v>
      </c>
      <c r="Y38" s="1">
        <v>44465</v>
      </c>
      <c r="Z38">
        <v>34940000000</v>
      </c>
    </row>
    <row r="39" spans="1:33" x14ac:dyDescent="0.2">
      <c r="A39" t="s">
        <v>43</v>
      </c>
      <c r="B39" t="s">
        <v>44</v>
      </c>
      <c r="C39" t="s">
        <v>12</v>
      </c>
      <c r="D39">
        <v>4946000000</v>
      </c>
      <c r="E39" s="1">
        <v>44829</v>
      </c>
      <c r="F39">
        <v>4946000000</v>
      </c>
      <c r="J39" t="s">
        <v>86</v>
      </c>
      <c r="K39" t="s">
        <v>87</v>
      </c>
      <c r="L39" t="s">
        <v>12</v>
      </c>
      <c r="M39">
        <v>217350000000</v>
      </c>
      <c r="N39" s="1">
        <v>44829</v>
      </c>
      <c r="P39">
        <f t="shared" si="3"/>
        <v>217350000000</v>
      </c>
      <c r="S39" t="s">
        <v>39</v>
      </c>
      <c r="T39" t="s">
        <v>38</v>
      </c>
      <c r="U39" t="s">
        <v>12</v>
      </c>
      <c r="V39">
        <v>23646000000</v>
      </c>
      <c r="W39" s="1">
        <v>44829</v>
      </c>
      <c r="Y39" s="1">
        <v>44829</v>
      </c>
      <c r="Z39">
        <v>23646000000</v>
      </c>
    </row>
    <row r="40" spans="1:33" x14ac:dyDescent="0.2">
      <c r="A40" t="s">
        <v>43</v>
      </c>
      <c r="B40" t="s">
        <v>44</v>
      </c>
      <c r="C40" t="s">
        <v>12</v>
      </c>
      <c r="D40">
        <v>6331000000</v>
      </c>
      <c r="E40" s="1">
        <v>45200</v>
      </c>
      <c r="F40">
        <v>6331000000</v>
      </c>
      <c r="J40" t="s">
        <v>86</v>
      </c>
      <c r="K40" t="s">
        <v>87</v>
      </c>
      <c r="L40" t="s">
        <v>12</v>
      </c>
      <c r="M40">
        <v>209017000000</v>
      </c>
      <c r="N40" s="1">
        <v>45200</v>
      </c>
      <c r="P40">
        <f t="shared" si="3"/>
        <v>209017000000</v>
      </c>
      <c r="S40" t="s">
        <v>39</v>
      </c>
      <c r="T40" t="s">
        <v>38</v>
      </c>
      <c r="U40" t="s">
        <v>12</v>
      </c>
      <c r="V40">
        <v>29965000000</v>
      </c>
      <c r="W40" s="1">
        <v>45200</v>
      </c>
      <c r="Y40" s="1">
        <v>45200</v>
      </c>
      <c r="Z40">
        <v>29965000000</v>
      </c>
    </row>
    <row r="41" spans="1:33" x14ac:dyDescent="0.2">
      <c r="A41" t="s">
        <v>43</v>
      </c>
      <c r="B41" t="s">
        <v>44</v>
      </c>
      <c r="C41" t="s">
        <v>12</v>
      </c>
      <c r="D41">
        <v>7286000000</v>
      </c>
      <c r="E41" s="1">
        <v>45564</v>
      </c>
      <c r="F41">
        <v>7286000000</v>
      </c>
      <c r="J41" t="s">
        <v>86</v>
      </c>
      <c r="K41" t="s">
        <v>87</v>
      </c>
      <c r="L41" t="s">
        <v>12</v>
      </c>
      <c r="M41">
        <v>211993000000</v>
      </c>
      <c r="N41" s="1">
        <v>45564</v>
      </c>
      <c r="P41">
        <f t="shared" si="3"/>
        <v>211993000000</v>
      </c>
      <c r="S41" t="s">
        <v>39</v>
      </c>
      <c r="T41" t="s">
        <v>38</v>
      </c>
      <c r="U41" t="s">
        <v>12</v>
      </c>
      <c r="V41">
        <v>29943000000</v>
      </c>
      <c r="W41" s="1">
        <v>45564</v>
      </c>
      <c r="Y41" s="1">
        <v>45564</v>
      </c>
      <c r="Z41">
        <v>29943000000</v>
      </c>
    </row>
    <row r="42" spans="1:33" x14ac:dyDescent="0.2">
      <c r="A42" t="s">
        <v>43</v>
      </c>
      <c r="B42" t="s">
        <v>44</v>
      </c>
      <c r="C42" t="s">
        <v>12</v>
      </c>
      <c r="D42">
        <v>5718000000</v>
      </c>
      <c r="E42" s="1">
        <v>45928</v>
      </c>
      <c r="F42">
        <v>5718000000</v>
      </c>
      <c r="J42" t="s">
        <v>86</v>
      </c>
      <c r="K42" t="s">
        <v>87</v>
      </c>
      <c r="L42" t="s">
        <v>12</v>
      </c>
      <c r="M42">
        <v>211284000000</v>
      </c>
      <c r="N42" s="1">
        <v>45928</v>
      </c>
      <c r="P42">
        <f t="shared" si="3"/>
        <v>211284000000</v>
      </c>
      <c r="S42" t="s">
        <v>39</v>
      </c>
      <c r="T42" t="s">
        <v>38</v>
      </c>
      <c r="U42" t="s">
        <v>12</v>
      </c>
      <c r="V42">
        <v>35934000000</v>
      </c>
      <c r="W42" s="1">
        <v>45928</v>
      </c>
      <c r="Y42" s="1">
        <v>45928</v>
      </c>
      <c r="Z42">
        <v>35934000000</v>
      </c>
    </row>
    <row r="43" spans="1:33" x14ac:dyDescent="0.2">
      <c r="W43" s="1"/>
    </row>
    <row r="45" spans="1:33" x14ac:dyDescent="0.2">
      <c r="AF45" t="s">
        <v>143</v>
      </c>
    </row>
    <row r="46" spans="1:33" x14ac:dyDescent="0.2">
      <c r="AF46" s="1">
        <v>43373</v>
      </c>
      <c r="AG46">
        <f>Z35+M54+D54</f>
        <v>237100000000</v>
      </c>
    </row>
    <row r="47" spans="1:33" x14ac:dyDescent="0.2">
      <c r="AF47" s="1">
        <v>43737</v>
      </c>
      <c r="AG47">
        <f t="shared" ref="AG47:AG53" si="4">Z36+M55+D55</f>
        <v>205898000000</v>
      </c>
    </row>
    <row r="48" spans="1:33" x14ac:dyDescent="0.2">
      <c r="AF48" s="1">
        <v>44101</v>
      </c>
      <c r="AG48">
        <f t="shared" si="4"/>
        <v>191830000000</v>
      </c>
    </row>
    <row r="49" spans="1:33" x14ac:dyDescent="0.2">
      <c r="S49" t="s">
        <v>117</v>
      </c>
      <c r="AF49" s="1">
        <v>44465</v>
      </c>
      <c r="AG49">
        <f t="shared" si="4"/>
        <v>190516000000</v>
      </c>
    </row>
    <row r="50" spans="1:33" x14ac:dyDescent="0.2">
      <c r="AF50" s="1">
        <v>44829</v>
      </c>
      <c r="AG50">
        <f t="shared" si="4"/>
        <v>169109000000</v>
      </c>
    </row>
    <row r="51" spans="1:33" x14ac:dyDescent="0.2">
      <c r="S51" t="s">
        <v>37</v>
      </c>
      <c r="T51" t="s">
        <v>38</v>
      </c>
      <c r="U51" t="s">
        <v>12</v>
      </c>
      <c r="V51">
        <v>25913000000</v>
      </c>
      <c r="W51" s="1">
        <v>43373</v>
      </c>
      <c r="AF51" s="1">
        <v>45200</v>
      </c>
      <c r="AG51">
        <f t="shared" si="4"/>
        <v>162099000000</v>
      </c>
    </row>
    <row r="52" spans="1:33" x14ac:dyDescent="0.2">
      <c r="S52" t="s">
        <v>37</v>
      </c>
      <c r="T52" t="s">
        <v>38</v>
      </c>
      <c r="U52" t="s">
        <v>12</v>
      </c>
      <c r="V52">
        <v>25913000000</v>
      </c>
      <c r="W52" s="1">
        <v>43373</v>
      </c>
      <c r="AF52" s="1">
        <v>45564</v>
      </c>
      <c r="AG52">
        <f t="shared" si="4"/>
        <v>156650000000</v>
      </c>
    </row>
    <row r="53" spans="1:33" x14ac:dyDescent="0.2">
      <c r="S53" t="s">
        <v>37</v>
      </c>
      <c r="T53" t="s">
        <v>38</v>
      </c>
      <c r="U53" t="s">
        <v>12</v>
      </c>
      <c r="V53">
        <v>48844000000</v>
      </c>
      <c r="W53" s="1">
        <v>43737</v>
      </c>
      <c r="AF53" s="1">
        <v>45928</v>
      </c>
      <c r="AG53">
        <f t="shared" si="4"/>
        <v>132420000000</v>
      </c>
    </row>
    <row r="54" spans="1:33" x14ac:dyDescent="0.2">
      <c r="A54" t="s">
        <v>120</v>
      </c>
      <c r="B54" t="s">
        <v>121</v>
      </c>
      <c r="C54" t="s">
        <v>12</v>
      </c>
      <c r="D54">
        <v>40388000000</v>
      </c>
      <c r="E54" s="1">
        <v>43373</v>
      </c>
      <c r="F54">
        <v>40388000000</v>
      </c>
      <c r="J54" t="s">
        <v>122</v>
      </c>
      <c r="K54" t="s">
        <v>123</v>
      </c>
      <c r="L54" t="s">
        <v>12</v>
      </c>
      <c r="M54">
        <v>170799000000</v>
      </c>
      <c r="N54" s="1">
        <v>43373</v>
      </c>
      <c r="O54">
        <v>170799000000</v>
      </c>
      <c r="S54" t="s">
        <v>37</v>
      </c>
      <c r="T54" t="s">
        <v>38</v>
      </c>
      <c r="U54" t="s">
        <v>12</v>
      </c>
      <c r="V54">
        <v>48844000000</v>
      </c>
      <c r="W54" s="1">
        <v>43737</v>
      </c>
    </row>
    <row r="55" spans="1:33" x14ac:dyDescent="0.2">
      <c r="A55" t="s">
        <v>120</v>
      </c>
      <c r="B55" t="s">
        <v>121</v>
      </c>
      <c r="C55" t="s">
        <v>12</v>
      </c>
      <c r="D55">
        <v>51713000000</v>
      </c>
      <c r="E55" s="1">
        <v>43737</v>
      </c>
      <c r="F55">
        <v>51713000000</v>
      </c>
      <c r="J55" t="s">
        <v>122</v>
      </c>
      <c r="K55" t="s">
        <v>123</v>
      </c>
      <c r="L55" t="s">
        <v>12</v>
      </c>
      <c r="M55">
        <v>105341000000</v>
      </c>
      <c r="N55" s="1">
        <v>43737</v>
      </c>
      <c r="O55">
        <v>105341000000</v>
      </c>
      <c r="S55" t="s">
        <v>37</v>
      </c>
      <c r="T55" t="s">
        <v>38</v>
      </c>
      <c r="U55" t="s">
        <v>12</v>
      </c>
      <c r="V55">
        <v>48844000000</v>
      </c>
      <c r="W55" s="1">
        <v>43737</v>
      </c>
    </row>
    <row r="56" spans="1:33" x14ac:dyDescent="0.2">
      <c r="A56" t="s">
        <v>120</v>
      </c>
      <c r="B56" t="s">
        <v>121</v>
      </c>
      <c r="C56" t="s">
        <v>12</v>
      </c>
      <c r="D56">
        <v>52927000000</v>
      </c>
      <c r="E56" s="1">
        <v>44101</v>
      </c>
      <c r="F56">
        <v>52927000000</v>
      </c>
      <c r="J56" t="s">
        <v>122</v>
      </c>
      <c r="K56" t="s">
        <v>123</v>
      </c>
      <c r="L56" t="s">
        <v>12</v>
      </c>
      <c r="M56">
        <v>100887000000</v>
      </c>
      <c r="N56" s="1">
        <v>44101</v>
      </c>
      <c r="O56">
        <v>100887000000</v>
      </c>
      <c r="S56" t="s">
        <v>37</v>
      </c>
      <c r="T56" t="s">
        <v>38</v>
      </c>
      <c r="U56" t="s">
        <v>12</v>
      </c>
      <c r="V56">
        <v>48844000000</v>
      </c>
      <c r="W56" s="1">
        <v>43737</v>
      </c>
    </row>
    <row r="57" spans="1:33" x14ac:dyDescent="0.2">
      <c r="A57" t="s">
        <v>120</v>
      </c>
      <c r="B57" t="s">
        <v>121</v>
      </c>
      <c r="C57" t="s">
        <v>12</v>
      </c>
      <c r="D57">
        <v>27699000000</v>
      </c>
      <c r="E57" s="1">
        <v>44465</v>
      </c>
      <c r="F57">
        <v>27699000000</v>
      </c>
      <c r="J57" t="s">
        <v>122</v>
      </c>
      <c r="K57" t="s">
        <v>123</v>
      </c>
      <c r="L57" t="s">
        <v>12</v>
      </c>
      <c r="M57">
        <v>127877000000</v>
      </c>
      <c r="N57" s="1">
        <v>44465</v>
      </c>
      <c r="O57">
        <v>127877000000</v>
      </c>
      <c r="S57" t="s">
        <v>37</v>
      </c>
      <c r="T57" t="s">
        <v>38</v>
      </c>
      <c r="U57" t="s">
        <v>12</v>
      </c>
      <c r="V57">
        <v>48844000000</v>
      </c>
      <c r="W57" s="1">
        <v>43737</v>
      </c>
    </row>
    <row r="58" spans="1:33" x14ac:dyDescent="0.2">
      <c r="A58" t="s">
        <v>120</v>
      </c>
      <c r="B58" t="s">
        <v>121</v>
      </c>
      <c r="C58" t="s">
        <v>12</v>
      </c>
      <c r="D58">
        <v>24658000000</v>
      </c>
      <c r="E58" s="1">
        <v>44829</v>
      </c>
      <c r="F58">
        <v>24658000000</v>
      </c>
      <c r="J58" t="s">
        <v>122</v>
      </c>
      <c r="K58" t="s">
        <v>123</v>
      </c>
      <c r="L58" t="s">
        <v>12</v>
      </c>
      <c r="M58">
        <v>120805000000</v>
      </c>
      <c r="N58" s="1">
        <v>44829</v>
      </c>
      <c r="O58">
        <v>120805000000</v>
      </c>
      <c r="S58" t="s">
        <v>37</v>
      </c>
      <c r="T58" t="s">
        <v>38</v>
      </c>
      <c r="U58" t="s">
        <v>12</v>
      </c>
      <c r="V58">
        <v>48844000000</v>
      </c>
      <c r="W58" s="1">
        <v>43737</v>
      </c>
    </row>
    <row r="59" spans="1:33" x14ac:dyDescent="0.2">
      <c r="A59" t="s">
        <v>120</v>
      </c>
      <c r="B59" t="s">
        <v>121</v>
      </c>
      <c r="C59" t="s">
        <v>12</v>
      </c>
      <c r="D59">
        <v>31590000000</v>
      </c>
      <c r="E59" s="1">
        <v>45200</v>
      </c>
      <c r="F59">
        <v>31590000000</v>
      </c>
      <c r="J59" t="s">
        <v>122</v>
      </c>
      <c r="K59" t="s">
        <v>123</v>
      </c>
      <c r="L59" t="s">
        <v>12</v>
      </c>
      <c r="M59">
        <v>100544000000</v>
      </c>
      <c r="N59" s="1">
        <v>45200</v>
      </c>
      <c r="O59">
        <v>100544000000</v>
      </c>
      <c r="S59" t="s">
        <v>37</v>
      </c>
      <c r="T59" t="s">
        <v>38</v>
      </c>
      <c r="U59" t="s">
        <v>12</v>
      </c>
      <c r="V59">
        <v>38016000000</v>
      </c>
      <c r="W59" s="1">
        <v>44101</v>
      </c>
    </row>
    <row r="60" spans="1:33" x14ac:dyDescent="0.2">
      <c r="A60" t="s">
        <v>120</v>
      </c>
      <c r="B60" t="s">
        <v>121</v>
      </c>
      <c r="C60" t="s">
        <v>12</v>
      </c>
      <c r="D60">
        <v>35228000000</v>
      </c>
      <c r="E60" s="1">
        <v>45564</v>
      </c>
      <c r="F60">
        <v>35228000000</v>
      </c>
      <c r="J60" t="s">
        <v>122</v>
      </c>
      <c r="K60" t="s">
        <v>123</v>
      </c>
      <c r="L60" t="s">
        <v>12</v>
      </c>
      <c r="M60">
        <v>91479000000</v>
      </c>
      <c r="N60" s="1">
        <v>45564</v>
      </c>
      <c r="O60">
        <v>91479000000</v>
      </c>
      <c r="S60" t="s">
        <v>37</v>
      </c>
      <c r="T60" t="s">
        <v>38</v>
      </c>
      <c r="U60" t="s">
        <v>12</v>
      </c>
      <c r="V60">
        <v>38016000000</v>
      </c>
      <c r="W60" s="1">
        <v>44101</v>
      </c>
    </row>
    <row r="61" spans="1:33" x14ac:dyDescent="0.2">
      <c r="A61" t="s">
        <v>120</v>
      </c>
      <c r="B61" t="s">
        <v>121</v>
      </c>
      <c r="C61" t="s">
        <v>12</v>
      </c>
      <c r="D61">
        <v>18763000000</v>
      </c>
      <c r="E61" s="1">
        <v>45928</v>
      </c>
      <c r="F61">
        <v>18763000000</v>
      </c>
      <c r="J61" t="s">
        <v>122</v>
      </c>
      <c r="K61" t="s">
        <v>123</v>
      </c>
      <c r="L61" t="s">
        <v>12</v>
      </c>
      <c r="M61">
        <v>77723000000</v>
      </c>
      <c r="N61" s="1">
        <v>45928</v>
      </c>
      <c r="O61">
        <v>77723000000</v>
      </c>
      <c r="S61" t="s">
        <v>37</v>
      </c>
      <c r="T61" t="s">
        <v>38</v>
      </c>
      <c r="U61" t="s">
        <v>12</v>
      </c>
      <c r="V61">
        <v>38016000000</v>
      </c>
      <c r="W61" s="1">
        <v>44101</v>
      </c>
    </row>
    <row r="62" spans="1:33" x14ac:dyDescent="0.2">
      <c r="S62" t="s">
        <v>37</v>
      </c>
      <c r="T62" t="s">
        <v>38</v>
      </c>
      <c r="U62" t="s">
        <v>12</v>
      </c>
      <c r="V62">
        <v>38016000000</v>
      </c>
      <c r="W62" s="1">
        <v>44101</v>
      </c>
    </row>
    <row r="63" spans="1:33" x14ac:dyDescent="0.2">
      <c r="S63" t="s">
        <v>37</v>
      </c>
      <c r="T63" t="s">
        <v>38</v>
      </c>
      <c r="U63" t="s">
        <v>12</v>
      </c>
      <c r="V63">
        <v>38016000000</v>
      </c>
      <c r="W63" s="1">
        <v>44101</v>
      </c>
    </row>
    <row r="64" spans="1:33" x14ac:dyDescent="0.2">
      <c r="S64" t="s">
        <v>37</v>
      </c>
      <c r="T64" t="s">
        <v>38</v>
      </c>
      <c r="U64" t="s">
        <v>12</v>
      </c>
      <c r="V64">
        <v>34940000000</v>
      </c>
      <c r="W64" s="1">
        <v>44465</v>
      </c>
    </row>
    <row r="65" spans="1:23" x14ac:dyDescent="0.2">
      <c r="N65" s="1"/>
      <c r="S65" t="s">
        <v>37</v>
      </c>
      <c r="T65" t="s">
        <v>38</v>
      </c>
      <c r="U65" t="s">
        <v>12</v>
      </c>
      <c r="V65">
        <v>34940000000</v>
      </c>
      <c r="W65" s="1">
        <v>44465</v>
      </c>
    </row>
    <row r="66" spans="1:23" x14ac:dyDescent="0.2">
      <c r="S66" t="s">
        <v>37</v>
      </c>
      <c r="T66" t="s">
        <v>38</v>
      </c>
      <c r="U66" t="s">
        <v>12</v>
      </c>
      <c r="V66">
        <v>34940000000</v>
      </c>
      <c r="W66" s="1">
        <v>44465</v>
      </c>
    </row>
    <row r="67" spans="1:23" x14ac:dyDescent="0.2">
      <c r="A67" t="s">
        <v>124</v>
      </c>
      <c r="B67" t="s">
        <v>125</v>
      </c>
      <c r="C67" t="s">
        <v>12</v>
      </c>
      <c r="D67">
        <v>12087000000</v>
      </c>
      <c r="E67" s="1">
        <v>43373</v>
      </c>
      <c r="J67" t="s">
        <v>45</v>
      </c>
      <c r="K67" t="s">
        <v>46</v>
      </c>
      <c r="L67" t="s">
        <v>12</v>
      </c>
      <c r="M67">
        <v>41304000000</v>
      </c>
      <c r="N67" s="1">
        <v>43373</v>
      </c>
      <c r="O67">
        <v>41304000000</v>
      </c>
      <c r="S67" t="s">
        <v>37</v>
      </c>
      <c r="T67" t="s">
        <v>38</v>
      </c>
      <c r="U67" t="s">
        <v>12</v>
      </c>
      <c r="V67">
        <v>34940000000</v>
      </c>
      <c r="W67" s="1">
        <v>44465</v>
      </c>
    </row>
    <row r="68" spans="1:23" x14ac:dyDescent="0.2">
      <c r="A68" t="s">
        <v>124</v>
      </c>
      <c r="B68" t="s">
        <v>125</v>
      </c>
      <c r="C68" t="s">
        <v>12</v>
      </c>
      <c r="D68">
        <v>12352000000</v>
      </c>
      <c r="E68" s="1">
        <v>43737</v>
      </c>
      <c r="J68" t="s">
        <v>45</v>
      </c>
      <c r="K68" t="s">
        <v>46</v>
      </c>
      <c r="L68" t="s">
        <v>12</v>
      </c>
      <c r="M68">
        <v>37378000000</v>
      </c>
      <c r="N68" s="1">
        <v>43737</v>
      </c>
      <c r="O68">
        <v>37378000000</v>
      </c>
      <c r="S68" t="s">
        <v>37</v>
      </c>
      <c r="T68" t="s">
        <v>38</v>
      </c>
      <c r="U68" t="s">
        <v>12</v>
      </c>
      <c r="V68">
        <v>23646000000</v>
      </c>
      <c r="W68" s="1">
        <v>44829</v>
      </c>
    </row>
    <row r="69" spans="1:23" x14ac:dyDescent="0.2">
      <c r="A69" t="s">
        <v>124</v>
      </c>
      <c r="B69" t="s">
        <v>125</v>
      </c>
      <c r="C69" t="s">
        <v>12</v>
      </c>
      <c r="D69">
        <v>11264000000</v>
      </c>
      <c r="E69" s="1">
        <v>44101</v>
      </c>
      <c r="J69" t="s">
        <v>45</v>
      </c>
      <c r="K69" t="s">
        <v>46</v>
      </c>
      <c r="L69" t="s">
        <v>12</v>
      </c>
      <c r="M69">
        <v>36766000000</v>
      </c>
      <c r="N69" s="1">
        <v>44101</v>
      </c>
      <c r="O69">
        <v>36766000000</v>
      </c>
      <c r="S69" t="s">
        <v>37</v>
      </c>
      <c r="T69" t="s">
        <v>38</v>
      </c>
      <c r="U69" t="s">
        <v>12</v>
      </c>
      <c r="V69">
        <v>23646000000</v>
      </c>
      <c r="W69" s="1">
        <v>44829</v>
      </c>
    </row>
    <row r="70" spans="1:23" x14ac:dyDescent="0.2">
      <c r="A70" t="s">
        <v>124</v>
      </c>
      <c r="B70" t="s">
        <v>125</v>
      </c>
      <c r="C70" t="s">
        <v>12</v>
      </c>
      <c r="D70">
        <v>14111000000</v>
      </c>
      <c r="E70" s="1">
        <v>44465</v>
      </c>
      <c r="J70" t="s">
        <v>45</v>
      </c>
      <c r="K70" t="s">
        <v>46</v>
      </c>
      <c r="L70" t="s">
        <v>12</v>
      </c>
      <c r="M70">
        <v>39440000000</v>
      </c>
      <c r="N70" s="1">
        <v>44465</v>
      </c>
      <c r="O70">
        <v>39440000000</v>
      </c>
      <c r="S70" t="s">
        <v>37</v>
      </c>
      <c r="T70" t="s">
        <v>38</v>
      </c>
      <c r="U70" t="s">
        <v>12</v>
      </c>
      <c r="V70">
        <v>23646000000</v>
      </c>
      <c r="W70" s="1">
        <v>44829</v>
      </c>
    </row>
    <row r="71" spans="1:23" x14ac:dyDescent="0.2">
      <c r="A71" t="s">
        <v>124</v>
      </c>
      <c r="B71" t="s">
        <v>125</v>
      </c>
      <c r="C71" t="s">
        <v>12</v>
      </c>
      <c r="D71">
        <v>21223000000</v>
      </c>
      <c r="E71" s="1">
        <v>44829</v>
      </c>
      <c r="J71" t="s">
        <v>45</v>
      </c>
      <c r="K71" t="s">
        <v>46</v>
      </c>
      <c r="L71" t="s">
        <v>12</v>
      </c>
      <c r="M71">
        <v>42117000000</v>
      </c>
      <c r="N71" s="1">
        <v>44829</v>
      </c>
      <c r="O71">
        <v>42117000000</v>
      </c>
      <c r="S71" t="s">
        <v>37</v>
      </c>
      <c r="T71" t="s">
        <v>38</v>
      </c>
      <c r="U71" t="s">
        <v>12</v>
      </c>
      <c r="V71">
        <v>23646000000</v>
      </c>
      <c r="W71" s="1">
        <v>44829</v>
      </c>
    </row>
    <row r="72" spans="1:23" x14ac:dyDescent="0.2">
      <c r="A72" t="s">
        <v>124</v>
      </c>
      <c r="B72" t="s">
        <v>125</v>
      </c>
      <c r="C72" t="s">
        <v>12</v>
      </c>
      <c r="D72">
        <v>14695000000</v>
      </c>
      <c r="E72" s="1">
        <v>45200</v>
      </c>
      <c r="J72" t="s">
        <v>45</v>
      </c>
      <c r="K72" t="s">
        <v>46</v>
      </c>
      <c r="L72" t="s">
        <v>12</v>
      </c>
      <c r="M72">
        <v>43715000000</v>
      </c>
      <c r="N72" s="1">
        <v>45200</v>
      </c>
      <c r="O72">
        <v>43715000000</v>
      </c>
      <c r="S72" t="s">
        <v>37</v>
      </c>
      <c r="T72" t="s">
        <v>38</v>
      </c>
      <c r="U72" t="s">
        <v>12</v>
      </c>
      <c r="V72">
        <v>29965000000</v>
      </c>
      <c r="W72" s="1">
        <v>45200</v>
      </c>
    </row>
    <row r="73" spans="1:23" x14ac:dyDescent="0.2">
      <c r="A73" t="s">
        <v>124</v>
      </c>
      <c r="B73" t="s">
        <v>125</v>
      </c>
      <c r="C73" t="s">
        <v>12</v>
      </c>
      <c r="D73">
        <v>14287000000</v>
      </c>
      <c r="E73" s="1">
        <v>45564</v>
      </c>
      <c r="J73" t="s">
        <v>45</v>
      </c>
      <c r="K73" t="s">
        <v>46</v>
      </c>
      <c r="L73" t="s">
        <v>12</v>
      </c>
      <c r="M73">
        <v>45680000000</v>
      </c>
      <c r="N73" s="1">
        <v>45564</v>
      </c>
      <c r="O73">
        <v>45680000000</v>
      </c>
      <c r="S73" t="s">
        <v>37</v>
      </c>
      <c r="T73" t="s">
        <v>38</v>
      </c>
      <c r="U73" t="s">
        <v>12</v>
      </c>
      <c r="V73">
        <v>29965000000</v>
      </c>
      <c r="W73" s="1">
        <v>45200</v>
      </c>
    </row>
    <row r="74" spans="1:23" x14ac:dyDescent="0.2">
      <c r="A74" t="s">
        <v>124</v>
      </c>
      <c r="B74" t="s">
        <v>125</v>
      </c>
      <c r="C74" t="s">
        <v>12</v>
      </c>
      <c r="D74">
        <v>14585000000</v>
      </c>
      <c r="E74" s="1">
        <v>45928</v>
      </c>
      <c r="J74" t="s">
        <v>45</v>
      </c>
      <c r="K74" t="s">
        <v>46</v>
      </c>
      <c r="L74" t="s">
        <v>12</v>
      </c>
      <c r="M74">
        <v>49834000000</v>
      </c>
      <c r="N74" s="1">
        <v>45928</v>
      </c>
      <c r="O74">
        <v>49834000000</v>
      </c>
      <c r="S74" t="s">
        <v>37</v>
      </c>
      <c r="T74" t="s">
        <v>38</v>
      </c>
      <c r="U74" t="s">
        <v>12</v>
      </c>
      <c r="V74">
        <v>29965000000</v>
      </c>
      <c r="W74" s="1">
        <v>45200</v>
      </c>
    </row>
    <row r="75" spans="1:23" x14ac:dyDescent="0.2">
      <c r="S75" t="s">
        <v>37</v>
      </c>
      <c r="T75" t="s">
        <v>38</v>
      </c>
      <c r="U75" t="s">
        <v>12</v>
      </c>
      <c r="V75">
        <v>29965000000</v>
      </c>
      <c r="W75" s="1">
        <v>45200</v>
      </c>
    </row>
    <row r="76" spans="1:23" x14ac:dyDescent="0.2">
      <c r="S76" t="s">
        <v>37</v>
      </c>
      <c r="T76" t="s">
        <v>38</v>
      </c>
      <c r="U76" t="s">
        <v>12</v>
      </c>
      <c r="V76">
        <v>29943000000</v>
      </c>
      <c r="W76" s="1">
        <v>45564</v>
      </c>
    </row>
    <row r="77" spans="1:23" x14ac:dyDescent="0.2">
      <c r="D77" s="1">
        <v>43373</v>
      </c>
      <c r="E77">
        <v>12087000000</v>
      </c>
      <c r="S77" t="s">
        <v>37</v>
      </c>
      <c r="T77" t="s">
        <v>38</v>
      </c>
      <c r="U77" t="s">
        <v>12</v>
      </c>
      <c r="V77">
        <v>29943000000</v>
      </c>
      <c r="W77" s="1">
        <v>45564</v>
      </c>
    </row>
    <row r="78" spans="1:23" x14ac:dyDescent="0.2">
      <c r="D78" s="1">
        <v>43737</v>
      </c>
      <c r="E78">
        <v>12352000000</v>
      </c>
      <c r="S78" t="s">
        <v>37</v>
      </c>
      <c r="T78" t="s">
        <v>38</v>
      </c>
      <c r="U78" t="s">
        <v>12</v>
      </c>
      <c r="V78">
        <v>29943000000</v>
      </c>
      <c r="W78" s="1">
        <v>45564</v>
      </c>
    </row>
    <row r="79" spans="1:23" x14ac:dyDescent="0.2">
      <c r="D79" s="1">
        <v>44101</v>
      </c>
      <c r="E79">
        <v>11264000000</v>
      </c>
      <c r="S79" t="s">
        <v>37</v>
      </c>
      <c r="T79" t="s">
        <v>38</v>
      </c>
      <c r="U79" t="s">
        <v>12</v>
      </c>
      <c r="V79">
        <v>29943000000</v>
      </c>
      <c r="W79" s="1">
        <v>45564</v>
      </c>
    </row>
    <row r="80" spans="1:23" x14ac:dyDescent="0.2">
      <c r="D80" s="1">
        <v>44465</v>
      </c>
      <c r="E80">
        <v>14111000000</v>
      </c>
      <c r="S80" t="s">
        <v>37</v>
      </c>
      <c r="T80" t="s">
        <v>38</v>
      </c>
      <c r="U80" t="s">
        <v>12</v>
      </c>
      <c r="V80">
        <v>35934000000</v>
      </c>
      <c r="W80" s="1">
        <v>45928</v>
      </c>
    </row>
    <row r="81" spans="4:23" x14ac:dyDescent="0.2">
      <c r="D81" s="1">
        <v>44829</v>
      </c>
      <c r="E81">
        <v>21223000000</v>
      </c>
      <c r="S81" t="s">
        <v>37</v>
      </c>
      <c r="T81" t="s">
        <v>38</v>
      </c>
      <c r="U81" t="s">
        <v>12</v>
      </c>
      <c r="V81">
        <v>35934000000</v>
      </c>
      <c r="W81" s="1">
        <v>45928</v>
      </c>
    </row>
    <row r="82" spans="4:23" x14ac:dyDescent="0.2">
      <c r="D82" s="1">
        <v>45200</v>
      </c>
      <c r="E82">
        <v>14695000000</v>
      </c>
      <c r="J82" t="s">
        <v>126</v>
      </c>
      <c r="K82" t="s">
        <v>127</v>
      </c>
      <c r="L82" t="s">
        <v>12</v>
      </c>
      <c r="M82">
        <v>22283000000</v>
      </c>
      <c r="N82" s="1">
        <v>43373</v>
      </c>
    </row>
    <row r="83" spans="4:23" x14ac:dyDescent="0.2">
      <c r="D83" s="1">
        <v>45564</v>
      </c>
      <c r="E83">
        <v>14287000000</v>
      </c>
      <c r="J83" t="s">
        <v>126</v>
      </c>
      <c r="K83" t="s">
        <v>127</v>
      </c>
      <c r="L83" t="s">
        <v>12</v>
      </c>
      <c r="M83">
        <v>32978000000</v>
      </c>
      <c r="N83" s="1">
        <v>43737</v>
      </c>
    </row>
    <row r="84" spans="4:23" x14ac:dyDescent="0.2">
      <c r="D84" s="1">
        <v>45928</v>
      </c>
      <c r="E84">
        <v>14585000000</v>
      </c>
      <c r="J84" t="s">
        <v>126</v>
      </c>
      <c r="K84" t="s">
        <v>127</v>
      </c>
      <c r="L84" t="s">
        <v>12</v>
      </c>
      <c r="M84">
        <v>42522000000</v>
      </c>
      <c r="N84" s="1">
        <v>44101</v>
      </c>
    </row>
    <row r="85" spans="4:23" x14ac:dyDescent="0.2">
      <c r="J85" t="s">
        <v>126</v>
      </c>
      <c r="K85" t="s">
        <v>127</v>
      </c>
      <c r="L85" t="s">
        <v>12</v>
      </c>
      <c r="M85">
        <v>48849000000</v>
      </c>
      <c r="N85" s="1">
        <v>44465</v>
      </c>
    </row>
    <row r="86" spans="4:23" x14ac:dyDescent="0.2">
      <c r="J86" t="s">
        <v>126</v>
      </c>
      <c r="K86" t="s">
        <v>127</v>
      </c>
      <c r="L86" t="s">
        <v>12</v>
      </c>
      <c r="M86">
        <v>54428000000</v>
      </c>
      <c r="N86" s="1">
        <v>44829</v>
      </c>
    </row>
    <row r="87" spans="4:23" x14ac:dyDescent="0.2">
      <c r="J87" t="s">
        <v>126</v>
      </c>
      <c r="K87" t="s">
        <v>127</v>
      </c>
      <c r="L87" t="s">
        <v>12</v>
      </c>
      <c r="M87">
        <v>64758000000</v>
      </c>
      <c r="N87" s="1">
        <v>45200</v>
      </c>
    </row>
    <row r="88" spans="4:23" x14ac:dyDescent="0.2">
      <c r="J88" t="s">
        <v>126</v>
      </c>
      <c r="K88" t="s">
        <v>127</v>
      </c>
      <c r="L88" t="s">
        <v>12</v>
      </c>
      <c r="M88">
        <v>74834000000</v>
      </c>
      <c r="N88" s="1">
        <v>45564</v>
      </c>
    </row>
    <row r="89" spans="4:23" x14ac:dyDescent="0.2">
      <c r="J89" t="s">
        <v>126</v>
      </c>
      <c r="K89" t="s">
        <v>127</v>
      </c>
      <c r="L89" t="s">
        <v>12</v>
      </c>
      <c r="M89">
        <v>83727000000</v>
      </c>
      <c r="N89" s="1">
        <v>45928</v>
      </c>
    </row>
    <row r="92" spans="4:23" x14ac:dyDescent="0.2">
      <c r="M92" s="1">
        <v>43373</v>
      </c>
      <c r="N92">
        <v>22283000000</v>
      </c>
    </row>
    <row r="93" spans="4:23" x14ac:dyDescent="0.2">
      <c r="M93" s="1">
        <v>43737</v>
      </c>
      <c r="N93">
        <v>32978000000</v>
      </c>
    </row>
    <row r="94" spans="4:23" x14ac:dyDescent="0.2">
      <c r="G94" t="s">
        <v>141</v>
      </c>
      <c r="M94" s="1">
        <v>44101</v>
      </c>
      <c r="N94">
        <v>42522000000</v>
      </c>
    </row>
    <row r="95" spans="4:23" x14ac:dyDescent="0.2">
      <c r="G95" s="1">
        <v>43373</v>
      </c>
      <c r="H95">
        <f>E77+N92</f>
        <v>34370000000</v>
      </c>
      <c r="M95" s="1">
        <v>44465</v>
      </c>
      <c r="N95">
        <v>48849000000</v>
      </c>
    </row>
    <row r="96" spans="4:23" x14ac:dyDescent="0.2">
      <c r="G96" s="1">
        <v>43737</v>
      </c>
      <c r="H96">
        <f t="shared" ref="H96:H102" si="5">E78+N93</f>
        <v>45330000000</v>
      </c>
      <c r="M96" s="1">
        <v>44829</v>
      </c>
      <c r="N96">
        <v>54428000000</v>
      </c>
    </row>
    <row r="97" spans="7:14" x14ac:dyDescent="0.2">
      <c r="G97" s="1">
        <v>44101</v>
      </c>
      <c r="H97">
        <f t="shared" si="5"/>
        <v>53786000000</v>
      </c>
      <c r="M97" s="1">
        <v>45200</v>
      </c>
      <c r="N97">
        <v>64758000000</v>
      </c>
    </row>
    <row r="98" spans="7:14" x14ac:dyDescent="0.2">
      <c r="G98" s="1">
        <v>44465</v>
      </c>
      <c r="H98">
        <f t="shared" si="5"/>
        <v>62960000000</v>
      </c>
      <c r="M98" s="1">
        <v>45564</v>
      </c>
      <c r="N98">
        <v>74834000000</v>
      </c>
    </row>
    <row r="99" spans="7:14" x14ac:dyDescent="0.2">
      <c r="G99" s="1">
        <v>44829</v>
      </c>
      <c r="H99">
        <f t="shared" si="5"/>
        <v>75651000000</v>
      </c>
      <c r="M99" s="1">
        <v>45928</v>
      </c>
      <c r="N99">
        <v>83727000000</v>
      </c>
    </row>
    <row r="100" spans="7:14" x14ac:dyDescent="0.2">
      <c r="G100" s="1">
        <v>45200</v>
      </c>
      <c r="H100">
        <f t="shared" si="5"/>
        <v>79453000000</v>
      </c>
    </row>
    <row r="101" spans="7:14" x14ac:dyDescent="0.2">
      <c r="G101" s="1">
        <v>45564</v>
      </c>
      <c r="H101">
        <f t="shared" si="5"/>
        <v>89121000000</v>
      </c>
    </row>
    <row r="102" spans="7:14" x14ac:dyDescent="0.2">
      <c r="G102" s="1">
        <v>45928</v>
      </c>
      <c r="H102">
        <f t="shared" si="5"/>
        <v>98312000000</v>
      </c>
    </row>
    <row r="108" spans="7:14" x14ac:dyDescent="0.2">
      <c r="K108" t="s">
        <v>142</v>
      </c>
    </row>
    <row r="109" spans="7:14" x14ac:dyDescent="0.2">
      <c r="K109" s="1">
        <v>43373</v>
      </c>
      <c r="L109" t="s">
        <v>176</v>
      </c>
    </row>
    <row r="110" spans="7:14" x14ac:dyDescent="0.2">
      <c r="K110" s="1">
        <v>43737</v>
      </c>
      <c r="L110">
        <f t="shared" ref="L110:L116" si="6">E78/H96</f>
        <v>0.27249062431061105</v>
      </c>
    </row>
    <row r="111" spans="7:14" x14ac:dyDescent="0.2">
      <c r="K111" s="1">
        <v>44101</v>
      </c>
      <c r="L111">
        <f t="shared" si="6"/>
        <v>0.20942252630796118</v>
      </c>
    </row>
    <row r="112" spans="7:14" x14ac:dyDescent="0.2">
      <c r="K112" s="1">
        <v>44465</v>
      </c>
      <c r="L112">
        <f t="shared" si="6"/>
        <v>0.2241264294790343</v>
      </c>
    </row>
    <row r="113" spans="11:12" x14ac:dyDescent="0.2">
      <c r="K113" s="1">
        <v>44829</v>
      </c>
      <c r="L113">
        <f t="shared" si="6"/>
        <v>0.28053826122589259</v>
      </c>
    </row>
    <row r="114" spans="11:12" x14ac:dyDescent="0.2">
      <c r="K114" s="1">
        <v>45200</v>
      </c>
      <c r="L114">
        <f t="shared" si="6"/>
        <v>0.18495211005248385</v>
      </c>
    </row>
    <row r="115" spans="11:12" x14ac:dyDescent="0.2">
      <c r="K115" s="1">
        <v>45564</v>
      </c>
      <c r="L115">
        <f t="shared" si="6"/>
        <v>0.16031014014654235</v>
      </c>
    </row>
    <row r="116" spans="11:12" x14ac:dyDescent="0.2">
      <c r="K116" s="1">
        <v>45928</v>
      </c>
      <c r="L116">
        <f t="shared" si="6"/>
        <v>0.14835421922044104</v>
      </c>
    </row>
  </sheetData>
  <mergeCells count="2">
    <mergeCell ref="K34:P34"/>
    <mergeCell ref="J19:P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0000320193_financial_facts</vt:lpstr>
      <vt:lpstr>Needed</vt:lpstr>
      <vt:lpstr>Cash Flow</vt:lpstr>
      <vt:lpstr>Liabilities</vt:lpstr>
      <vt:lpstr>Equity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2025-12-19T00:51:44Z</dcterms:created>
  <dcterms:modified xsi:type="dcterms:W3CDTF">2026-02-18T15:57:38Z</dcterms:modified>
</cp:coreProperties>
</file>