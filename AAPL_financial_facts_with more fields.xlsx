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E0E72111-7E1F-9A4B-8766-84D4B3D934D0}" xr6:coauthVersionLast="47" xr6:coauthVersionMax="47" xr10:uidLastSave="{00000000-0000-0000-0000-000000000000}"/>
  <bookViews>
    <workbookView xWindow="21340" yWindow="1040" windowWidth="19620" windowHeight="25380" activeTab="1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4" i="6" l="1"/>
  <c r="E44" i="6"/>
  <c r="F44" i="6"/>
  <c r="G44" i="6"/>
  <c r="H44" i="6"/>
  <c r="I44" i="6"/>
  <c r="J44" i="6"/>
  <c r="C44" i="6"/>
  <c r="D43" i="6"/>
  <c r="E43" i="6"/>
  <c r="F43" i="6"/>
  <c r="G43" i="6"/>
  <c r="H43" i="6"/>
  <c r="I43" i="6"/>
  <c r="J43" i="6"/>
  <c r="C43" i="6"/>
  <c r="F16" i="6"/>
  <c r="C12" i="6"/>
  <c r="D12" i="6"/>
  <c r="E12" i="6"/>
  <c r="F12" i="6"/>
  <c r="D5" i="6"/>
  <c r="D16" i="6" s="1"/>
  <c r="E5" i="6"/>
  <c r="F5" i="6"/>
  <c r="C5" i="6"/>
  <c r="G2" i="6"/>
  <c r="H2" i="6"/>
  <c r="I2" i="6"/>
  <c r="J2" i="6"/>
  <c r="G16" i="6"/>
  <c r="H16" i="6"/>
  <c r="I16" i="6"/>
  <c r="J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L109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C16" i="6" l="1"/>
  <c r="E16" i="6"/>
</calcChain>
</file>

<file path=xl/sharedStrings.xml><?xml version="1.0" encoding="utf-8"?>
<sst xmlns="http://schemas.openxmlformats.org/spreadsheetml/2006/main" count="9910" uniqueCount="171">
  <si>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</si>
  <si>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</si>
  <si>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</si>
  <si>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</si>
  <si>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</si>
  <si>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</si>
  <si>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</si>
  <si>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</si>
  <si>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</si>
  <si>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</si>
  <si>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</si>
  <si>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</si>
  <si>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</si>
  <si>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</si>
  <si>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</si>
  <si>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</si>
  <si>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</si>
  <si>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</si>
  <si>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</si>
  <si>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</si>
  <si>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</si>
  <si>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</si>
  <si>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</si>
  <si>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</si>
  <si>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</si>
  <si>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</si>
  <si>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</si>
  <si>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</si>
  <si>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</si>
  <si>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</si>
  <si>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</si>
  <si>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</si>
  <si>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</si>
  <si>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</si>
  <si>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</si>
  <si>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</si>
  <si>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</si>
  <si>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</si>
  <si>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</si>
  <si>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</si>
  <si>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</si>
  <si>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</si>
  <si>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</si>
  <si>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</si>
  <si>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</si>
  <si>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</si>
  <si>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</si>
  <si>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</si>
  <si>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</si>
  <si>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</si>
  <si>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</si>
  <si>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</si>
  <si>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</si>
  <si>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</si>
  <si>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</si>
  <si>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</si>
  <si>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</si>
  <si>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</si>
  <si>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</si>
  <si>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</si>
  <si>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</si>
  <si>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</si>
  <si>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</si>
  <si>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</si>
  <si>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</si>
  <si>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</si>
  <si>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</si>
  <si>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</si>
  <si>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</si>
  <si>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</si>
  <si>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</si>
  <si>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</si>
  <si>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</si>
  <si>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</si>
  <si>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</si>
  <si>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</si>
  <si>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</si>
  <si>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</si>
  <si>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</si>
  <si>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</si>
  <si>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</si>
  <si>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</si>
  <si>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</si>
  <si>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</si>
  <si>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</si>
  <si>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</si>
  <si>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</si>
  <si>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</si>
  <si>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</si>
  <si>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</si>
  <si>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</si>
  <si>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</si>
  <si>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</si>
  <si>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</si>
  <si>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</si>
  <si>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</si>
  <si>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</si>
  <si>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</si>
  <si>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</si>
  <si>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</si>
  <si>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</si>
  <si>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</si>
  <si>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</si>
  <si>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</si>
  <si>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</si>
  <si>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</si>
  <si>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</si>
  <si>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</si>
  <si>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</si>
  <si>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</si>
  <si>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</si>
  <si>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</si>
  <si>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</si>
  <si>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</si>
  <si>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</si>
  <si>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</si>
  <si>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</si>
  <si>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</si>
  <si>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</si>
  <si>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</si>
  <si>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</si>
  <si>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</si>
  <si>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</si>
  <si>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</si>
  <si>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</si>
  <si>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</si>
  <si>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</si>
  <si>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</si>
  <si>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</si>
  <si>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</si>
  <si>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</si>
  <si>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</si>
  <si>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</si>
  <si>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</si>
  <si>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</si>
  <si>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</si>
  <si>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</si>
  <si>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</si>
  <si>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</si>
  <si>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</si>
  <si>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</si>
  <si>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</si>
  <si>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</si>
  <si>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</si>
  <si>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</si>
  <si>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</si>
  <si>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</si>
  <si>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</si>
  <si>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</si>
  <si>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</si>
  <si>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</si>
  <si>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</si>
  <si>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</si>
  <si>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</si>
  <si>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</si>
  <si>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</si>
  <si>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</si>
  <si>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</si>
  <si>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</si>
  <si>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</si>
  <si>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</si>
  <si>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</si>
  <si>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</si>
  <si>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</si>
  <si>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</si>
  <si>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</si>
  <si>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</si>
  <si>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</si>
  <si>
    <t>Inflation</t>
  </si>
  <si>
    <t>total liquidity</t>
  </si>
  <si>
    <t>cash as % of liquidity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</si>
</sst>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cash as % of liquidity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Needed!$C$44:$J$44</c:f>
              <c:numCache>
                <c:formatCode>General</c:formatCode>
                <c:ptCount val="8"/>
                <c:pt idx="0">
                  <c:v>0.39083875054674894</c:v>
                </c:pt>
                <c:pt idx="1">
                  <c:v>0.48573445906301899</c:v>
                </c:pt>
                <c:pt idx="2">
                  <c:v>0.41802007851071549</c:v>
                </c:pt>
                <c:pt idx="3">
                  <c:v>0.55779945401427222</c:v>
                </c:pt>
                <c:pt idx="4">
                  <c:v>0.48952467704537928</c:v>
                </c:pt>
                <c:pt idx="5">
                  <c:v>0.48680042238648363</c:v>
                </c:pt>
                <c:pt idx="6">
                  <c:v>0.45945282410888277</c:v>
                </c:pt>
                <c:pt idx="7">
                  <c:v>0.65696473298352742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D-A34F-9116-B67FBF068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35424"/>
        <c:axId val="1084337184"/>
      </c:lineChart>
      <c:catAx>
        <c:axId val="1084335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7184"/>
        <c:crosses val="autoZero"/>
        <c:auto val="1"/>
        <c:lblAlgn val="ctr"/>
        <c:lblOffset val="100"/>
        <c:noMultiLvlLbl val="0"/>
      </c:catAx>
      <c:valAx>
        <c:axId val="10843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0.35167297061390745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13" Type="http://schemas.openxmlformats.org/officeDocument/2006/relationships/chart" Target="../charts/chart31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12" Type="http://schemas.openxmlformats.org/officeDocument/2006/relationships/chart" Target="../charts/chart30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11" Type="http://schemas.openxmlformats.org/officeDocument/2006/relationships/chart" Target="../charts/chart29.xml"/><Relationship Id="rId5" Type="http://schemas.openxmlformats.org/officeDocument/2006/relationships/chart" Target="../charts/chart23.xml"/><Relationship Id="rId10" Type="http://schemas.openxmlformats.org/officeDocument/2006/relationships/chart" Target="../charts/chart28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49</xdr:row>
      <xdr:rowOff>184150</xdr:rowOff>
    </xdr:from>
    <xdr:to>
      <xdr:col>7</xdr:col>
      <xdr:colOff>711200</xdr:colOff>
      <xdr:row>63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55920-E992-D68E-98E0-EA13ED4FA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C821" zoomScale="111" workbookViewId="0">
      <selection activeCell="F868" sqref="A1:I1445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J66"/>
  <sheetViews>
    <sheetView tabSelected="1" topLeftCell="A16" workbookViewId="0">
      <selection activeCell="E28" sqref="E28"/>
    </sheetView>
  </sheetViews>
  <sheetFormatPr baseColWidth="10" defaultRowHeight="16" x14ac:dyDescent="0.2"/>
  <cols>
    <col min="1" max="1" width="76.6640625" bestFit="1" customWidth="1"/>
    <col min="2" max="2" width="15.5" customWidth="1"/>
    <col min="3" max="3" width="10.83203125" customWidth="1"/>
    <col min="4" max="5" width="11.83203125" customWidth="1"/>
    <col min="6" max="6" width="12.33203125" customWidth="1"/>
    <col min="7" max="10" width="12.1640625" bestFit="1" customWidth="1"/>
  </cols>
  <sheetData>
    <row r="1" spans="1:10" x14ac:dyDescent="0.2">
      <c r="A1" s="4" t="s">
        <v>148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</row>
    <row r="2" spans="1:10" x14ac:dyDescent="0.2">
      <c r="A2" s="4" t="s">
        <v>144</v>
      </c>
      <c r="C2">
        <v>365725000000</v>
      </c>
      <c r="D2">
        <v>338516000000</v>
      </c>
      <c r="E2">
        <v>323888000000</v>
      </c>
      <c r="F2">
        <v>351002000000</v>
      </c>
      <c r="G2">
        <f t="shared" ref="G2:I2" si="0">SUM(G3:G8)</f>
        <v>352755000000</v>
      </c>
      <c r="H2">
        <f t="shared" si="0"/>
        <v>352583000000</v>
      </c>
      <c r="I2">
        <f t="shared" si="0"/>
        <v>364980000000</v>
      </c>
      <c r="J2">
        <f>SUM(J3:J8)</f>
        <v>359241000000</v>
      </c>
    </row>
    <row r="3" spans="1:10" x14ac:dyDescent="0.2">
      <c r="A3" t="s">
        <v>149</v>
      </c>
      <c r="C3">
        <v>234386000000</v>
      </c>
      <c r="D3">
        <v>175697000000</v>
      </c>
      <c r="E3">
        <v>180175000000</v>
      </c>
      <c r="F3">
        <v>216166000000</v>
      </c>
      <c r="G3">
        <v>217350000000</v>
      </c>
      <c r="H3">
        <v>209017000000</v>
      </c>
      <c r="I3">
        <v>211993000000</v>
      </c>
      <c r="J3">
        <v>211284000000</v>
      </c>
    </row>
    <row r="4" spans="1:10" x14ac:dyDescent="0.2">
      <c r="A4" t="s">
        <v>150</v>
      </c>
      <c r="C4">
        <v>12087000000</v>
      </c>
      <c r="D4">
        <v>12352000000</v>
      </c>
      <c r="E4">
        <v>11264000000</v>
      </c>
      <c r="F4">
        <v>14111000000</v>
      </c>
      <c r="G4">
        <v>21223000000</v>
      </c>
      <c r="H4">
        <v>14695000000</v>
      </c>
      <c r="I4">
        <v>14287000000</v>
      </c>
      <c r="J4">
        <v>14585000000</v>
      </c>
    </row>
    <row r="5" spans="1:10" x14ac:dyDescent="0.2">
      <c r="A5" t="s">
        <v>151</v>
      </c>
      <c r="C5">
        <f>C2-C3-C4-C6-C7-C8</f>
        <v>48995000000</v>
      </c>
      <c r="D5">
        <f t="shared" ref="D5:F5" si="1">D2-D3-D4-D6-D7-D8</f>
        <v>45804000000</v>
      </c>
      <c r="E5">
        <f t="shared" si="1"/>
        <v>37445000000</v>
      </c>
      <c r="F5">
        <f t="shared" si="1"/>
        <v>51506000000</v>
      </c>
      <c r="G5">
        <v>60932000000</v>
      </c>
      <c r="H5">
        <v>60985000000</v>
      </c>
      <c r="I5">
        <v>66243000000</v>
      </c>
      <c r="J5">
        <v>72957000000</v>
      </c>
    </row>
    <row r="6" spans="1:10" x14ac:dyDescent="0.2">
      <c r="A6" t="s">
        <v>152</v>
      </c>
      <c r="B6">
        <v>4855000000</v>
      </c>
      <c r="C6">
        <v>3956000000</v>
      </c>
      <c r="D6">
        <v>4106000000</v>
      </c>
      <c r="E6">
        <v>4061000000</v>
      </c>
      <c r="F6">
        <v>6580000000</v>
      </c>
      <c r="G6">
        <v>4946000000</v>
      </c>
      <c r="H6">
        <v>6331000000</v>
      </c>
      <c r="I6">
        <v>7286000000</v>
      </c>
      <c r="J6">
        <v>5718000000</v>
      </c>
    </row>
    <row r="7" spans="1:10" x14ac:dyDescent="0.2">
      <c r="A7" t="s">
        <v>153</v>
      </c>
      <c r="C7">
        <v>25913000000</v>
      </c>
      <c r="D7">
        <v>48844000000</v>
      </c>
      <c r="E7">
        <v>38016000000</v>
      </c>
      <c r="F7">
        <v>34940000000</v>
      </c>
      <c r="G7">
        <v>23646000000</v>
      </c>
      <c r="H7">
        <v>29965000000</v>
      </c>
      <c r="I7">
        <v>29943000000</v>
      </c>
      <c r="J7">
        <v>35934000000</v>
      </c>
    </row>
    <row r="8" spans="1:10" x14ac:dyDescent="0.2">
      <c r="A8" t="s">
        <v>154</v>
      </c>
      <c r="C8">
        <v>40388000000</v>
      </c>
      <c r="D8">
        <v>51713000000</v>
      </c>
      <c r="E8">
        <v>52927000000</v>
      </c>
      <c r="F8">
        <v>27699000000</v>
      </c>
      <c r="G8">
        <v>24658000000</v>
      </c>
      <c r="H8">
        <v>31590000000</v>
      </c>
      <c r="I8">
        <v>35228000000</v>
      </c>
      <c r="J8">
        <v>18763000000</v>
      </c>
    </row>
    <row r="9" spans="1:10" x14ac:dyDescent="0.2">
      <c r="A9" s="4" t="s">
        <v>145</v>
      </c>
      <c r="C9" s="4"/>
      <c r="D9" s="4"/>
      <c r="E9" s="4"/>
      <c r="F9" s="4"/>
    </row>
    <row r="10" spans="1:10" x14ac:dyDescent="0.2">
      <c r="A10" t="s">
        <v>147</v>
      </c>
      <c r="C10">
        <v>55888000000</v>
      </c>
      <c r="D10">
        <v>46236000000</v>
      </c>
      <c r="E10">
        <v>42296000000</v>
      </c>
      <c r="F10">
        <v>54763000000</v>
      </c>
      <c r="G10">
        <v>64115000000</v>
      </c>
      <c r="H10">
        <v>62611000000</v>
      </c>
      <c r="I10">
        <v>68960000000</v>
      </c>
      <c r="J10">
        <v>69860000000</v>
      </c>
    </row>
    <row r="11" spans="1:10" x14ac:dyDescent="0.2">
      <c r="A11" t="s">
        <v>155</v>
      </c>
      <c r="C11">
        <v>5966000000</v>
      </c>
      <c r="D11">
        <v>5522000000</v>
      </c>
      <c r="E11">
        <v>6643000000</v>
      </c>
      <c r="F11">
        <v>7612000000</v>
      </c>
      <c r="G11">
        <v>7912000000</v>
      </c>
      <c r="H11">
        <v>8061000000</v>
      </c>
      <c r="I11">
        <v>8249000000</v>
      </c>
      <c r="J11">
        <v>9055000000</v>
      </c>
    </row>
    <row r="12" spans="1:10" x14ac:dyDescent="0.2">
      <c r="A12" t="s">
        <v>166</v>
      </c>
      <c r="C12">
        <f t="shared" ref="C12:E12" si="2">C2-C15-C13-C11-C10</f>
        <v>55012000000</v>
      </c>
      <c r="D12">
        <f t="shared" si="2"/>
        <v>53960000000</v>
      </c>
      <c r="E12">
        <f t="shared" si="2"/>
        <v>56453000000</v>
      </c>
      <c r="F12">
        <f>F2-F15-F13-F11-F10</f>
        <v>63106000000</v>
      </c>
      <c r="G12">
        <v>81955000000</v>
      </c>
      <c r="H12">
        <v>74636000000</v>
      </c>
      <c r="I12">
        <v>99183000000</v>
      </c>
      <c r="J12">
        <v>86716000000</v>
      </c>
    </row>
    <row r="13" spans="1:10" x14ac:dyDescent="0.2">
      <c r="A13" t="s">
        <v>156</v>
      </c>
      <c r="C13">
        <v>141712000000</v>
      </c>
      <c r="D13">
        <v>142310000000</v>
      </c>
      <c r="E13">
        <v>153157000000</v>
      </c>
      <c r="F13">
        <v>162431000000</v>
      </c>
      <c r="G13">
        <v>148101000000</v>
      </c>
      <c r="H13">
        <v>145129000000</v>
      </c>
      <c r="I13">
        <v>131638000000</v>
      </c>
      <c r="J13">
        <v>119877000000</v>
      </c>
    </row>
    <row r="14" spans="1:10" x14ac:dyDescent="0.2">
      <c r="A14" s="4" t="s">
        <v>146</v>
      </c>
      <c r="C14" s="4"/>
      <c r="D14" s="4"/>
      <c r="E14" s="4"/>
      <c r="F14" s="4"/>
    </row>
    <row r="15" spans="1:10" x14ac:dyDescent="0.2">
      <c r="A15" t="s">
        <v>65</v>
      </c>
      <c r="C15">
        <v>107147000000</v>
      </c>
      <c r="D15">
        <v>90488000000</v>
      </c>
      <c r="E15">
        <v>65339000000</v>
      </c>
      <c r="F15">
        <v>63090000000</v>
      </c>
      <c r="G15">
        <v>50672000000</v>
      </c>
      <c r="H15">
        <v>62146000000</v>
      </c>
      <c r="I15">
        <v>56950000000</v>
      </c>
      <c r="J15">
        <v>73733000000</v>
      </c>
    </row>
    <row r="16" spans="1:10" x14ac:dyDescent="0.2">
      <c r="A16" s="4" t="s">
        <v>165</v>
      </c>
      <c r="C16">
        <f t="shared" ref="C16:F16" si="3">SUM(C3:C8) - SUM(C10:C13) - C15</f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>SUM(G3:G8) - SUM(G10:G13) - G15</f>
        <v>0</v>
      </c>
      <c r="H16">
        <f t="shared" ref="H16" si="4">SUM(H3:H8) - SUM(H10:H13) - H15</f>
        <v>0</v>
      </c>
      <c r="I16">
        <f t="shared" ref="I16" si="5">SUM(I3:I8) - SUM(I10:I13) - I15</f>
        <v>0</v>
      </c>
      <c r="J16">
        <f t="shared" ref="J16" si="6">SUM(J3:J8) - SUM(J10:J13) - J15</f>
        <v>0</v>
      </c>
    </row>
    <row r="20" spans="1:10" x14ac:dyDescent="0.2">
      <c r="A20" s="4" t="s">
        <v>157</v>
      </c>
      <c r="C20" s="4"/>
      <c r="D20" s="4"/>
      <c r="E20" s="4"/>
      <c r="F20" s="4"/>
    </row>
    <row r="21" spans="1:10" x14ac:dyDescent="0.2">
      <c r="A21" t="s">
        <v>158</v>
      </c>
      <c r="C21">
        <v>265595000000</v>
      </c>
      <c r="D21">
        <v>260174000000</v>
      </c>
      <c r="E21">
        <v>274515000000</v>
      </c>
      <c r="F21">
        <v>365817000000</v>
      </c>
      <c r="G21">
        <v>394328000000</v>
      </c>
      <c r="H21">
        <v>383285000000</v>
      </c>
      <c r="I21">
        <v>391035000000</v>
      </c>
      <c r="J21">
        <v>416161000000</v>
      </c>
    </row>
    <row r="22" spans="1:10" x14ac:dyDescent="0.2">
      <c r="A22" t="s">
        <v>167</v>
      </c>
      <c r="C22">
        <v>10903000000</v>
      </c>
      <c r="D22">
        <v>12547000000</v>
      </c>
      <c r="E22">
        <v>11056000000</v>
      </c>
      <c r="F22">
        <v>11284000000</v>
      </c>
      <c r="G22">
        <v>11104000000</v>
      </c>
      <c r="H22">
        <v>11519000000</v>
      </c>
      <c r="I22">
        <v>11445000000</v>
      </c>
      <c r="J22">
        <v>11698000000</v>
      </c>
    </row>
    <row r="23" spans="1:10" x14ac:dyDescent="0.2">
      <c r="A23" t="s">
        <v>159</v>
      </c>
      <c r="C23">
        <v>152853000000</v>
      </c>
      <c r="D23">
        <v>149235000000</v>
      </c>
      <c r="E23">
        <v>158503000000</v>
      </c>
      <c r="F23">
        <v>201697000000</v>
      </c>
      <c r="G23">
        <v>212442000000</v>
      </c>
      <c r="H23">
        <v>202618000000</v>
      </c>
      <c r="I23">
        <v>198907000000</v>
      </c>
      <c r="J23">
        <v>209262000000</v>
      </c>
    </row>
    <row r="24" spans="1:10" x14ac:dyDescent="0.2">
      <c r="A24" t="s">
        <v>160</v>
      </c>
      <c r="C24">
        <v>30941000000</v>
      </c>
      <c r="D24">
        <v>34462000000</v>
      </c>
      <c r="E24">
        <v>38668000000</v>
      </c>
      <c r="F24">
        <v>43887000000</v>
      </c>
      <c r="G24">
        <v>51345000000</v>
      </c>
      <c r="H24">
        <v>54847000000</v>
      </c>
      <c r="I24">
        <v>57467000000</v>
      </c>
      <c r="J24">
        <v>62151000000</v>
      </c>
    </row>
    <row r="25" spans="1:10" x14ac:dyDescent="0.2">
      <c r="A25" t="s">
        <v>161</v>
      </c>
      <c r="C25">
        <v>13372000000</v>
      </c>
      <c r="D25">
        <v>10481000000</v>
      </c>
      <c r="E25">
        <v>9680000000</v>
      </c>
      <c r="F25">
        <v>14527000000</v>
      </c>
      <c r="G25">
        <v>19300000000</v>
      </c>
      <c r="H25">
        <v>16741000000</v>
      </c>
      <c r="I25">
        <v>29749000000</v>
      </c>
      <c r="J25">
        <v>20719000000</v>
      </c>
    </row>
    <row r="26" spans="1:10" x14ac:dyDescent="0.2">
      <c r="A26" t="s">
        <v>28</v>
      </c>
      <c r="C26">
        <v>59531000000</v>
      </c>
      <c r="D26">
        <v>55256000000</v>
      </c>
      <c r="E26">
        <v>57411000000</v>
      </c>
      <c r="F26">
        <v>94680000000</v>
      </c>
      <c r="G26">
        <v>99803000000</v>
      </c>
      <c r="H26">
        <v>96995000000</v>
      </c>
      <c r="I26">
        <v>93736000000</v>
      </c>
      <c r="J26">
        <v>112010000000</v>
      </c>
    </row>
    <row r="31" spans="1:10" x14ac:dyDescent="0.2">
      <c r="A31" s="4" t="s">
        <v>162</v>
      </c>
      <c r="C31" s="4"/>
      <c r="D31" s="4"/>
      <c r="E31" s="4"/>
      <c r="F31" s="4"/>
    </row>
    <row r="32" spans="1:10" x14ac:dyDescent="0.2">
      <c r="A32" t="s">
        <v>163</v>
      </c>
      <c r="C32">
        <v>13712000000</v>
      </c>
      <c r="D32">
        <v>14119000000</v>
      </c>
      <c r="E32">
        <v>14081000000</v>
      </c>
      <c r="F32">
        <v>14467000000</v>
      </c>
      <c r="G32">
        <v>14841000000</v>
      </c>
      <c r="H32">
        <v>15025000000</v>
      </c>
      <c r="I32">
        <v>15234000000</v>
      </c>
      <c r="J32">
        <v>15421000000</v>
      </c>
    </row>
    <row r="33" spans="1:10" x14ac:dyDescent="0.2">
      <c r="A33" t="s">
        <v>164</v>
      </c>
      <c r="C33">
        <v>72738000000</v>
      </c>
      <c r="D33">
        <v>66897000000</v>
      </c>
      <c r="E33">
        <v>72358000000</v>
      </c>
      <c r="F33">
        <v>85971000000</v>
      </c>
      <c r="G33">
        <v>89402000000</v>
      </c>
      <c r="H33">
        <v>77550000000</v>
      </c>
      <c r="I33">
        <v>94949000000</v>
      </c>
      <c r="J33">
        <v>90711000000</v>
      </c>
    </row>
    <row r="36" spans="1:10" x14ac:dyDescent="0.2">
      <c r="A36" t="s">
        <v>168</v>
      </c>
      <c r="C36">
        <v>2.4E-2</v>
      </c>
      <c r="D36">
        <v>1.7999999999999999E-2</v>
      </c>
      <c r="E36">
        <v>1.2E-2</v>
      </c>
      <c r="F36">
        <v>4.7E-2</v>
      </c>
      <c r="G36">
        <v>0.08</v>
      </c>
      <c r="H36">
        <v>4.1000000000000002E-2</v>
      </c>
      <c r="I36">
        <v>2.9000000000000001E-2</v>
      </c>
      <c r="J36">
        <v>2.7E-2</v>
      </c>
    </row>
    <row r="43" spans="1:10" x14ac:dyDescent="0.2">
      <c r="A43" t="s">
        <v>169</v>
      </c>
      <c r="C43">
        <f>SUM(C7:C8)</f>
        <v>66301000000</v>
      </c>
      <c r="D43">
        <f>SUM(D7:D8)</f>
        <v>100557000000</v>
      </c>
      <c r="E43">
        <f>SUM(E7:E8)</f>
        <v>90943000000</v>
      </c>
      <c r="F43">
        <f>SUM(F7:F8)</f>
        <v>62639000000</v>
      </c>
      <c r="G43">
        <f>SUM(G7:G8)</f>
        <v>48304000000</v>
      </c>
      <c r="H43">
        <f>SUM(H7:H8)</f>
        <v>61555000000</v>
      </c>
      <c r="I43">
        <f>SUM(I7:I8)</f>
        <v>65171000000</v>
      </c>
      <c r="J43">
        <f>SUM(J7:J8)</f>
        <v>54697000000</v>
      </c>
    </row>
    <row r="44" spans="1:10" x14ac:dyDescent="0.2">
      <c r="A44" t="s">
        <v>170</v>
      </c>
      <c r="C44">
        <f>C7/C43</f>
        <v>0.39083875054674894</v>
      </c>
      <c r="D44">
        <f t="shared" ref="D44:J44" si="7">D7/D43</f>
        <v>0.48573445906301899</v>
      </c>
      <c r="E44">
        <f t="shared" si="7"/>
        <v>0.41802007851071549</v>
      </c>
      <c r="F44">
        <f t="shared" si="7"/>
        <v>0.55779945401427222</v>
      </c>
      <c r="G44">
        <f t="shared" si="7"/>
        <v>0.48952467704537928</v>
      </c>
      <c r="H44">
        <f t="shared" si="7"/>
        <v>0.48680042238648363</v>
      </c>
      <c r="I44">
        <f t="shared" si="7"/>
        <v>0.45945282410888277</v>
      </c>
      <c r="J44">
        <f t="shared" si="7"/>
        <v>0.65696473298352742</v>
      </c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opLeftCell="J1" zoomScale="99" workbookViewId="0">
      <selection activeCell="T36" sqref="T36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0.83203125" bestFit="1" customWidth="1"/>
    <col min="11" max="11" width="10.5" customWidth="1"/>
    <col min="12" max="12" width="13.1640625" bestFit="1" customWidth="1"/>
    <col min="13" max="13" width="12.6640625" bestFit="1" customWidth="1"/>
    <col min="14" max="14" width="11" bestFit="1" customWidth="1"/>
    <col min="15" max="15" width="11.33203125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1640625" bestFit="1" customWidth="1"/>
    <col min="23" max="23" width="11.33203125" bestFit="1" customWidth="1"/>
    <col min="25" max="25" width="30.1640625" bestFit="1" customWidth="1"/>
    <col min="26" max="26" width="11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33203125" bestFit="1" customWidth="1"/>
    <col min="34" max="34" width="9.6640625" customWidth="1"/>
    <col min="38" max="38" width="11" bestFit="1" customWidth="1"/>
    <col min="39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5" t="s">
        <v>133</v>
      </c>
      <c r="AA1" s="5"/>
      <c r="AB1" s="5"/>
      <c r="AC1" s="5"/>
      <c r="AD1" s="5"/>
      <c r="AE1" s="5"/>
      <c r="AF1" s="5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23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23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23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23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23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23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23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23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23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23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23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23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</row>
    <row r="61" spans="1:23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</row>
    <row r="62" spans="1:23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</row>
    <row r="63" spans="1:23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</row>
    <row r="64" spans="1:23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</row>
    <row r="65" spans="19:23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</row>
    <row r="66" spans="19:23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</row>
    <row r="67" spans="19:23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</row>
    <row r="68" spans="19:23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</row>
    <row r="69" spans="19:23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23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23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23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23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6" spans="19:23" x14ac:dyDescent="0.2">
      <c r="S76" s="1">
        <v>43373</v>
      </c>
      <c r="T76">
        <v>55888000000</v>
      </c>
    </row>
    <row r="77" spans="19:23" x14ac:dyDescent="0.2">
      <c r="S77" s="1">
        <v>43737</v>
      </c>
      <c r="T77">
        <v>46236000000</v>
      </c>
    </row>
    <row r="78" spans="19:23" x14ac:dyDescent="0.2">
      <c r="S78" s="1">
        <v>43737</v>
      </c>
      <c r="T78">
        <v>46236000000</v>
      </c>
    </row>
    <row r="79" spans="19:23" x14ac:dyDescent="0.2">
      <c r="S79" s="1">
        <v>44101</v>
      </c>
      <c r="T79">
        <v>42296000000</v>
      </c>
    </row>
    <row r="80" spans="19:23" x14ac:dyDescent="0.2">
      <c r="S80" s="1">
        <v>44101</v>
      </c>
      <c r="T80">
        <v>42296000000</v>
      </c>
    </row>
    <row r="81" spans="10:32" x14ac:dyDescent="0.2">
      <c r="S81" s="1">
        <v>44465</v>
      </c>
      <c r="T81">
        <v>54763000000</v>
      </c>
    </row>
    <row r="82" spans="10:32" x14ac:dyDescent="0.2">
      <c r="S82" s="1">
        <v>44465</v>
      </c>
      <c r="T82">
        <v>54763000000</v>
      </c>
    </row>
    <row r="83" spans="10:32" x14ac:dyDescent="0.2">
      <c r="S83" s="1">
        <v>44829</v>
      </c>
      <c r="T83">
        <v>64115000000</v>
      </c>
    </row>
    <row r="84" spans="10:32" x14ac:dyDescent="0.2">
      <c r="S84" s="1">
        <v>44829</v>
      </c>
      <c r="T84">
        <v>64115000000</v>
      </c>
    </row>
    <row r="85" spans="10:32" x14ac:dyDescent="0.2">
      <c r="S85" s="1">
        <v>45200</v>
      </c>
      <c r="T85">
        <v>62611000000</v>
      </c>
    </row>
    <row r="86" spans="10:32" x14ac:dyDescent="0.2">
      <c r="S86" s="1">
        <v>45200</v>
      </c>
      <c r="T86">
        <v>62611000000</v>
      </c>
    </row>
    <row r="87" spans="10:32" x14ac:dyDescent="0.2">
      <c r="S87" s="1">
        <v>45564</v>
      </c>
      <c r="T87">
        <v>68960000000</v>
      </c>
    </row>
    <row r="88" spans="10:32" x14ac:dyDescent="0.2">
      <c r="S88" s="1">
        <v>45564</v>
      </c>
      <c r="T88">
        <v>68960000000</v>
      </c>
    </row>
    <row r="89" spans="10:32" x14ac:dyDescent="0.2">
      <c r="S89" s="1">
        <v>45928</v>
      </c>
      <c r="T89">
        <v>69860000000</v>
      </c>
    </row>
    <row r="93" spans="10:32" x14ac:dyDescent="0.2">
      <c r="J93" t="s">
        <v>113</v>
      </c>
    </row>
    <row r="94" spans="10:32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2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2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D2" zoomScale="117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H1" workbookViewId="0">
      <selection activeCell="R20" sqref="R2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5" t="s">
        <v>132</v>
      </c>
      <c r="K19" s="5"/>
      <c r="L19" s="5"/>
      <c r="M19" s="5"/>
      <c r="N19" s="5"/>
      <c r="O19" s="5"/>
      <c r="P19" s="5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5" t="s">
        <v>131</v>
      </c>
      <c r="L34" s="5"/>
      <c r="M34" s="5"/>
      <c r="N34" s="5"/>
      <c r="O34" s="5"/>
      <c r="P34" s="5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>
        <f>E77/H95</f>
        <v>0.35167297061390745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2026-01-16T14:28:49Z</dcterms:modified>
</cp:coreProperties>
</file>